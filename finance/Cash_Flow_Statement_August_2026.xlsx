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ceivables" sheetId="2" state="visible" r:id="rId4"/>
    <sheet name="Payables" sheetId="3" state="visible" r:id="rId5"/>
    <sheet name="UK HQ Invoices" sheetId="4" state="visible" r:id="rId6"/>
    <sheet name="Bank Balances" sheetId="5" state="visible" r:id="rId7"/>
  </sheets>
  <definedNames>
    <definedName function="false" hidden="false" localSheetId="4" name="_xlnm.Print_Titles" vbProcedure="false">'Bank Balances'!$1:$5</definedName>
    <definedName function="false" hidden="false" localSheetId="0" name="_xlnm.Print_Titles" vbProcedure="false">Dashboard!$1:$3</definedName>
    <definedName function="false" hidden="false" localSheetId="2" name="_xlnm.Print_Titles" vbProcedure="false">Payables!$1:$5</definedName>
    <definedName function="false" hidden="true" localSheetId="2" name="_xlnm._FilterDatabase" vbProcedure="false">Payables!$A$5:$R$46</definedName>
    <definedName function="false" hidden="false" localSheetId="1" name="_xlnm.Print_Titles" vbProcedure="false">Receivables!$1:$5</definedName>
    <definedName function="false" hidden="true" localSheetId="1" name="_xlnm._FilterDatabase" vbProcedure="false">Receivables!$A$5:$Q$46</definedName>
    <definedName function="false" hidden="false" localSheetId="3" name="_xlnm.Print_Titles" vbProcedure="false">'UK HQ Invoices'!$1:$5</definedName>
    <definedName function="false" hidden="true" localSheetId="3" name="_xlnm._FilterDatabase" vbProcedure="false">'UK HQ Invoices'!$A$5:$T$46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Report date drives every 'Days Overdue' and status calculation. User input.</t>
        </r>
      </text>
    </comment>
    <comment ref="C10" authorId="0">
      <text>
        <r>
          <rPr>
            <sz val="10"/>
            <rFont val="Arial"/>
            <family val="2"/>
          </rPr>
          <t xml:space="preserve">Enter the Monday of week 1. Weeks 2-5 are calculated (+7 days).</t>
        </r>
      </text>
    </comment>
    <comment ref="C36" authorId="0">
      <text>
        <r>
          <rPr>
            <sz val="10"/>
            <rFont val="Arial"/>
            <family val="2"/>
          </rPr>
          <t xml:space="preserve">Collected shows the amount already received on fully-collected invoices.</t>
        </r>
      </text>
    </comment>
    <comment ref="G9" authorId="0">
      <text>
        <r>
          <rPr>
            <sz val="10"/>
            <rFont val="Arial"/>
            <family val="2"/>
          </rPr>
          <t xml:space="preserve">Indicative rates entered by the user – update to the CBRT / bank rate at the report date. TRY is fixed at 1.</t>
        </r>
      </text>
    </comment>
    <comment ref="I18" authorId="0">
      <text>
        <r>
          <rPr>
            <sz val="10"/>
            <rFont val="Arial"/>
            <family val="2"/>
          </rPr>
          <t xml:space="preserve">Net Cash Position = Bank &amp; Cash + Receivables outstanding – Payables outstanding – UK HQ outstanding.</t>
        </r>
      </text>
    </comment>
    <comment ref="J18" authorId="0">
      <text>
        <r>
          <rPr>
            <sz val="10"/>
            <rFont val="Arial"/>
            <family val="2"/>
          </rPr>
          <t xml:space="preserve">Liquidity Ratio = (Bank &amp; Cash + Receivables) / (Payables + UK HQ). Above 1.0x means liquid assets cover all obligations.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47" authorId="0">
      <text>
        <r>
          <rPr>
            <sz val="10"/>
            <rFont val="Arial"/>
            <family val="2"/>
          </rPr>
          <t xml:space="preserve">Number of overdue invoices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0" authorId="0">
      <text>
        <r>
          <rPr>
            <sz val="10"/>
            <rFont val="Arial"/>
            <family val="2"/>
          </rPr>
          <t xml:space="preserve">Invoiced FCY less settlements converted back at the invoice FX rate.</t>
        </r>
      </text>
    </comment>
  </commentList>
</comments>
</file>

<file path=xl/sharedStrings.xml><?xml version="1.0" encoding="utf-8"?>
<sst xmlns="http://schemas.openxmlformats.org/spreadsheetml/2006/main" count="260" uniqueCount="167">
  <si>
    <t xml:space="preserve">CASH FLOW STATEMENT – EXECUTIVE DASHBOARD</t>
  </si>
  <si>
    <t xml:space="preserve">All figures in Turkish Lira (₺) unless stated. Every number on this page is a formula driven by the four register tabs.</t>
  </si>
  <si>
    <t xml:space="preserve">REPORT SETTINGS  (blue = input)</t>
  </si>
  <si>
    <t xml:space="preserve">Company / Entity</t>
  </si>
  <si>
    <t xml:space="preserve">Company Name Ltd. – Türkiye</t>
  </si>
  <si>
    <t xml:space="preserve">Report Period</t>
  </si>
  <si>
    <t xml:space="preserve">August 2026</t>
  </si>
  <si>
    <t xml:space="preserve">Prepared By</t>
  </si>
  <si>
    <t xml:space="preserve">Finance Department</t>
  </si>
  <si>
    <t xml:space="preserve">FX RATES TO ₺ (blue = input)</t>
  </si>
  <si>
    <t xml:space="preserve">LEGEND</t>
  </si>
  <si>
    <t xml:space="preserve">Report Date (as at)</t>
  </si>
  <si>
    <t xml:space="preserve">Currency</t>
  </si>
  <si>
    <t xml:space="preserve">1 unit = ₺</t>
  </si>
  <si>
    <t xml:space="preserve">Blue text / yellow fill</t>
  </si>
  <si>
    <t xml:space="preserve">User input</t>
  </si>
  <si>
    <t xml:space="preserve">WEEK START DATES</t>
  </si>
  <si>
    <t xml:space="preserve">Start date</t>
  </si>
  <si>
    <t xml:space="preserve">GBP</t>
  </si>
  <si>
    <t xml:space="preserve">Black text</t>
  </si>
  <si>
    <t xml:space="preserve">Formula – do not edit</t>
  </si>
  <si>
    <t xml:space="preserve">Week 1</t>
  </si>
  <si>
    <t xml:space="preserve">EUR</t>
  </si>
  <si>
    <t xml:space="preserve">Green text</t>
  </si>
  <si>
    <t xml:space="preserve">Link to another tab</t>
  </si>
  <si>
    <t xml:space="preserve">Week 2</t>
  </si>
  <si>
    <t xml:space="preserve">USD</t>
  </si>
  <si>
    <t xml:space="preserve">Red status</t>
  </si>
  <si>
    <t xml:space="preserve">Overdue – action required</t>
  </si>
  <si>
    <t xml:space="preserve">Week 3</t>
  </si>
  <si>
    <t xml:space="preserve">TRY</t>
  </si>
  <si>
    <t xml:space="preserve">Green status</t>
  </si>
  <si>
    <t xml:space="preserve">Collected / Paid / Settled</t>
  </si>
  <si>
    <t xml:space="preserve">Week 4</t>
  </si>
  <si>
    <t xml:space="preserve">Sample rows in each tab are examples – overwrite them with live data.</t>
  </si>
  <si>
    <t xml:space="preserve">Week 5</t>
  </si>
  <si>
    <t xml:space="preserve">KEY LIQUIDITY INDICATORS (₺)</t>
  </si>
  <si>
    <t xml:space="preserve">Bank &amp; Cash Balance</t>
  </si>
  <si>
    <t xml:space="preserve">Receivables Outstanding</t>
  </si>
  <si>
    <t xml:space="preserve">Payables Outstanding</t>
  </si>
  <si>
    <t xml:space="preserve">UK HQ Outstanding</t>
  </si>
  <si>
    <t xml:space="preserve">Total Liabilities</t>
  </si>
  <si>
    <t xml:space="preserve">Net Cash Position</t>
  </si>
  <si>
    <t xml:space="preserve">Liquidity Ratio</t>
  </si>
  <si>
    <t xml:space="preserve">5-WEEK CASH FLOW PROJECTION (₺)</t>
  </si>
  <si>
    <t xml:space="preserve">Line item</t>
  </si>
  <si>
    <t xml:space="preserve">Total</t>
  </si>
  <si>
    <t xml:space="preserve">Week</t>
  </si>
  <si>
    <t xml:space="preserve">Opening balance</t>
  </si>
  <si>
    <t xml:space="preserve">(+) Customer collections</t>
  </si>
  <si>
    <t xml:space="preserve">(–) Supplier &amp; operating payments</t>
  </si>
  <si>
    <t xml:space="preserve">(–) UK HQ settlements</t>
  </si>
  <si>
    <t xml:space="preserve">Net cash flow</t>
  </si>
  <si>
    <t xml:space="preserve">Closing balance</t>
  </si>
  <si>
    <t xml:space="preserve">Control: Closing week 5 = Bank &amp; Cash + total net cash flow (must be 0)</t>
  </si>
  <si>
    <t xml:space="preserve">Note: the projection assumes only the collections / payments scheduled in the week columns of each tab occur. Unscheduled balances remain outstanding.</t>
  </si>
  <si>
    <t xml:space="preserve">POSITION ANALYSIS</t>
  </si>
  <si>
    <t xml:space="preserve">Receivables by status</t>
  </si>
  <si>
    <t xml:space="preserve">Outstanding (₺)</t>
  </si>
  <si>
    <t xml:space="preserve">Payables by category</t>
  </si>
  <si>
    <t xml:space="preserve">UK HQ aging</t>
  </si>
  <si>
    <t xml:space="preserve">% of total</t>
  </si>
  <si>
    <t xml:space="preserve">Open</t>
  </si>
  <si>
    <t xml:space="preserve">Payroll</t>
  </si>
  <si>
    <t xml:space="preserve">Not due</t>
  </si>
  <si>
    <t xml:space="preserve">Overdue</t>
  </si>
  <si>
    <t xml:space="preserve">Rent &amp; Utilities</t>
  </si>
  <si>
    <t xml:space="preserve">1-30 days</t>
  </si>
  <si>
    <t xml:space="preserve">Collected</t>
  </si>
  <si>
    <t xml:space="preserve">Suppliers / COGS</t>
  </si>
  <si>
    <t xml:space="preserve">31-60 days</t>
  </si>
  <si>
    <t xml:space="preserve">Invoiced total</t>
  </si>
  <si>
    <t xml:space="preserve">Taxes &amp; Social Security</t>
  </si>
  <si>
    <t xml:space="preserve">61-90 days</t>
  </si>
  <si>
    <t xml:space="preserve">Collection rate</t>
  </si>
  <si>
    <t xml:space="preserve">Marketing</t>
  </si>
  <si>
    <t xml:space="preserve">90+ days</t>
  </si>
  <si>
    <t xml:space="preserve">Overdue invoices (count)</t>
  </si>
  <si>
    <t xml:space="preserve">IT &amp; Software</t>
  </si>
  <si>
    <t xml:space="preserve">Total outstanding</t>
  </si>
  <si>
    <t xml:space="preserve">Professional Fees</t>
  </si>
  <si>
    <t xml:space="preserve">Overdue HQ invoices (count)</t>
  </si>
  <si>
    <t xml:space="preserve">Bank &amp; cash by currency</t>
  </si>
  <si>
    <t xml:space="preserve">Equivalent (₺)</t>
  </si>
  <si>
    <t xml:space="preserve">Loan / Finance</t>
  </si>
  <si>
    <t xml:space="preserve">Other</t>
  </si>
  <si>
    <t xml:space="preserve">Check vs Payables tab (must be 0)</t>
  </si>
  <si>
    <t xml:space="preserve">Overdue payables (count)</t>
  </si>
  <si>
    <t xml:space="preserve">Available for operations</t>
  </si>
  <si>
    <t xml:space="preserve">ACCOUNTS RECEIVABLE – CUSTOMER COLLECTIONS</t>
  </si>
  <si>
    <t xml:space="preserve">Amounts in Turkish Lira (₺). Blue cells are inputs; black cells are formulas – do not overwrite.</t>
  </si>
  <si>
    <t xml:space="preserve">COLLECTIONS RECEIVED BY WEEK (₺)  –  week start dates below</t>
  </si>
  <si>
    <t xml:space="preserve">No</t>
  </si>
  <si>
    <t xml:space="preserve">Customer</t>
  </si>
  <si>
    <t xml:space="preserve">Invoice No</t>
  </si>
  <si>
    <t xml:space="preserve">Invoice Date</t>
  </si>
  <si>
    <t xml:space="preserve">Due Date</t>
  </si>
  <si>
    <t xml:space="preserve">Invoice Amount (₺)</t>
  </si>
  <si>
    <t xml:space="preserve">Total Collected (₺)</t>
  </si>
  <si>
    <t xml:space="preserve">Remaining (₺)</t>
  </si>
  <si>
    <t xml:space="preserve">Collected %</t>
  </si>
  <si>
    <t xml:space="preserve">Days Overdue</t>
  </si>
  <si>
    <t xml:space="preserve">Status</t>
  </si>
  <si>
    <t xml:space="preserve">Notes</t>
  </si>
  <si>
    <t xml:space="preserve">Week starting →</t>
  </si>
  <si>
    <t xml:space="preserve">Anadolu Retail A.Ş.</t>
  </si>
  <si>
    <t xml:space="preserve">INV-2026-081</t>
  </si>
  <si>
    <t xml:space="preserve">Sample row – replace with live data</t>
  </si>
  <si>
    <t xml:space="preserve">Marmara Lojistik Ltd.</t>
  </si>
  <si>
    <t xml:space="preserve">INV-2026-084</t>
  </si>
  <si>
    <t xml:space="preserve">Ege Gıda San. Tic.</t>
  </si>
  <si>
    <t xml:space="preserve">INV-2026-087</t>
  </si>
  <si>
    <t xml:space="preserve">TOTAL</t>
  </si>
  <si>
    <t xml:space="preserve">overdue</t>
  </si>
  <si>
    <t xml:space="preserve">Control: Invoice total – Collected – Remaining (must be 0)</t>
  </si>
  <si>
    <t xml:space="preserve">ACCOUNTS PAYABLE – SCHEDULED PAYMENTS</t>
  </si>
  <si>
    <t xml:space="preserve">PAYMENTS PLANNED / MADE BY WEEK (₺)  –  week start dates below</t>
  </si>
  <si>
    <t xml:space="preserve">Supplier / Payee</t>
  </si>
  <si>
    <t xml:space="preserve">Category</t>
  </si>
  <si>
    <t xml:space="preserve">Total Paid (₺)</t>
  </si>
  <si>
    <t xml:space="preserve">Paid %</t>
  </si>
  <si>
    <t xml:space="preserve">Staff Payroll – August</t>
  </si>
  <si>
    <t xml:space="preserve">PAY-08-2026</t>
  </si>
  <si>
    <t xml:space="preserve">İstanbul Office Rent</t>
  </si>
  <si>
    <t xml:space="preserve">RNT-2026-08</t>
  </si>
  <si>
    <t xml:space="preserve">Karadeniz Ambalaj Ltd.</t>
  </si>
  <si>
    <t xml:space="preserve">SUP-4471</t>
  </si>
  <si>
    <t xml:space="preserve">Control: Invoice total – Paid – Remaining (must be 0)</t>
  </si>
  <si>
    <t xml:space="preserve">UK HQ – OUTSTANDING INTERCOMPANY INVOICES</t>
  </si>
  <si>
    <t xml:space="preserve">Invoices received from UK Head Office not yet settled. Foreign currency amounts convert to ₺ using the FX rates on the Dashboard.</t>
  </si>
  <si>
    <t xml:space="preserve">SETTLEMENTS PLANNED / MADE BY WEEK (₺)  –  week start dates below</t>
  </si>
  <si>
    <t xml:space="preserve">HQ Invoice No</t>
  </si>
  <si>
    <t xml:space="preserve">Description / Service</t>
  </si>
  <si>
    <t xml:space="preserve">Invoice Amount (FCY)</t>
  </si>
  <si>
    <t xml:space="preserve">FX Rate (to ₺)</t>
  </si>
  <si>
    <t xml:space="preserve">Aging Bucket</t>
  </si>
  <si>
    <t xml:space="preserve">UKHQ-2026-0412</t>
  </si>
  <si>
    <t xml:space="preserve">Management fee – Q2 2026</t>
  </si>
  <si>
    <t xml:space="preserve">UKHQ-2026-0498</t>
  </si>
  <si>
    <t xml:space="preserve">Software licences recharge</t>
  </si>
  <si>
    <t xml:space="preserve">UKHQ-2026-0533</t>
  </si>
  <si>
    <t xml:space="preserve">Group insurance recharge</t>
  </si>
  <si>
    <t xml:space="preserve">Outstanding by currency (FCY)</t>
  </si>
  <si>
    <t xml:space="preserve">BANK &amp; CASH BALANCES</t>
  </si>
  <si>
    <t xml:space="preserve">Opening liquidity as at the report date. Foreign currency balances convert to ₺ using the Dashboard FX rates.</t>
  </si>
  <si>
    <t xml:space="preserve">Bank</t>
  </si>
  <si>
    <t xml:space="preserve">Account Name / IBAN (last 4)</t>
  </si>
  <si>
    <t xml:space="preserve">Account Type</t>
  </si>
  <si>
    <t xml:space="preserve">Balance (FCY)</t>
  </si>
  <si>
    <t xml:space="preserve">Balance (₺)</t>
  </si>
  <si>
    <t xml:space="preserve">Available for Operations?</t>
  </si>
  <si>
    <t xml:space="preserve">Garanti BBVA</t>
  </si>
  <si>
    <t xml:space="preserve">Operating account – ****4821</t>
  </si>
  <si>
    <t xml:space="preserve">Current</t>
  </si>
  <si>
    <t xml:space="preserve">Yes</t>
  </si>
  <si>
    <t xml:space="preserve">İş Bankası</t>
  </si>
  <si>
    <t xml:space="preserve">FX account – ****1177</t>
  </si>
  <si>
    <t xml:space="preserve">Overnight deposit – ****4839</t>
  </si>
  <si>
    <t xml:space="preserve">Deposit</t>
  </si>
  <si>
    <t xml:space="preserve">Petty cash</t>
  </si>
  <si>
    <t xml:space="preserve">Office safe</t>
  </si>
  <si>
    <t xml:space="preserve">Cash</t>
  </si>
  <si>
    <t xml:space="preserve">TOTAL BANK &amp; CASH</t>
  </si>
  <si>
    <t xml:space="preserve">of which available for operations</t>
  </si>
  <si>
    <t xml:space="preserve">of which restricted / deposits</t>
  </si>
  <si>
    <t xml:space="preserve">Balances by currency (FCY)</t>
  </si>
  <si>
    <t xml:space="preserve">Amount (FCY)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</si>
</sst>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yy"/>
    <numFmt numFmtId="166" formatCode="0.0000"/>
    <numFmt numFmtId="167" formatCode="\₺#,##0.00;[RED]&quot;(₺&quot;#,##0.00\);\-"/>
    <numFmt numFmtId="168" formatCode="0.00\x"/>
    <numFmt numFmtId="169" formatCode="0.0%;[RED]\-0.0%;\-"/>
    <numFmt numFmtId="170" formatCode="0;[RED]\-0;\-"/>
    <numFmt numFmtId="171" formatCode="#,##0"/>
    <numFmt numFmtId="172" formatCode="#,##0.00;[RED]\(#,##0.00\);\-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375623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2"/>
      <color rgb="FF7F6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F2F5FB"/>
      </patternFill>
    </fill>
    <fill>
      <patternFill patternType="solid">
        <fgColor rgb="FFFFFF00"/>
        <bgColor rgb="FFFFFF00"/>
      </patternFill>
    </fill>
    <fill>
      <patternFill patternType="solid">
        <fgColor rgb="FFFCE4E4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D9E2F3"/>
        <bgColor rgb="FFD9D9D9"/>
      </patternFill>
    </fill>
    <fill>
      <patternFill patternType="solid">
        <fgColor rgb="FFF2F5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double">
        <color rgb="FF1F3864"/>
      </top>
      <bottom style="double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31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1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ont>
        <name val="Arial"/>
        <charset val="1"/>
        <family val="0"/>
        <b val="1"/>
        <color rgb="FFC00000"/>
        <sz val="12"/>
      </font>
      <fill>
        <patternFill>
          <bgColor rgb="FFFCE4E4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CE4E4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2F5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CE4E4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F2CC"/>
        </patternFill>
      </fill>
    </dxf>
    <dxf>
      <fill>
        <patternFill>
          <bgColor rgb="FFFCE4E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C0504D"/>
      <rgbColor rgb="FFFFF2CC"/>
      <rgbColor rgb="FFF2F5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D9E2F3"/>
      <rgbColor rgb="FFFF99CC"/>
      <rgbColor rgb="FFCC99FF"/>
      <rgbColor rgb="FFFCE4E4"/>
      <rgbColor rgb="FF4F81BD"/>
      <rgbColor rgb="FF33CCCC"/>
      <rgbColor rgb="FF9BBB59"/>
      <rgbColor rgb="FFFFCC00"/>
      <rgbColor rgb="FFFF9900"/>
      <rgbColor rgb="FFFF6600"/>
      <rgbColor rgb="FF4A7EBB"/>
      <rgbColor rgb="FF969696"/>
      <rgbColor rgb="FF1F3864"/>
      <rgbColor rgb="FF339966"/>
      <rgbColor rgb="FF006100"/>
      <rgbColor rgb="FF333300"/>
      <rgbColor rgb="FF9C57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cash inflows vs outflows (₺)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"Collections"</c:f>
              <c:strCache>
                <c:ptCount val="1"/>
                <c:pt idx="0">
                  <c:v>Collections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Dashboard!$F$22:$J$22</c:f>
              <c:multiLvlStrCache>
                <c:ptCount val="1"/>
                <c:lvl>
                  <c:pt idx="0">
                    <c:v>Week 5</c:v>
                  </c:pt>
                </c:lvl>
                <c:lvl>
                  <c:pt idx="0">
                    <c:v>Week 4</c:v>
                  </c:pt>
                </c:lvl>
                <c:lvl>
                  <c:pt idx="0">
                    <c:v>Week 3</c:v>
                  </c:pt>
                </c:lvl>
                <c:lvl>
                  <c:pt idx="0">
                    <c:v>Week 2</c:v>
                  </c:pt>
                </c:lvl>
                <c:lvl>
                  <c:pt idx="0">
                    <c:v>Week 1</c:v>
                  </c:pt>
                </c:lvl>
              </c:multiLvlStrCache>
            </c:multiLvlStrRef>
          </c:cat>
          <c:val>
            <c:numRef>
              <c:f>Dashboard!$F$24:$J$24</c:f>
              <c:numCache>
                <c:formatCode>\₺#,##0.00;[RED]"(₺"#,##0.00\);\-</c:formatCode>
                <c:ptCount val="5"/>
                <c:pt idx="0">
                  <c:v>60000</c:v>
                </c:pt>
                <c:pt idx="1">
                  <c:v>60000</c:v>
                </c:pt>
                <c:pt idx="2">
                  <c:v>92500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"Payments"</c:f>
              <c:strCache>
                <c:ptCount val="1"/>
                <c:pt idx="0">
                  <c:v>Payments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Dashboard!$F$22:$J$22</c:f>
              <c:multiLvlStrCache>
                <c:ptCount val="1"/>
                <c:lvl>
                  <c:pt idx="0">
                    <c:v>Week 5</c:v>
                  </c:pt>
                </c:lvl>
                <c:lvl>
                  <c:pt idx="0">
                    <c:v>Week 4</c:v>
                  </c:pt>
                </c:lvl>
                <c:lvl>
                  <c:pt idx="0">
                    <c:v>Week 3</c:v>
                  </c:pt>
                </c:lvl>
                <c:lvl>
                  <c:pt idx="0">
                    <c:v>Week 2</c:v>
                  </c:pt>
                </c:lvl>
                <c:lvl>
                  <c:pt idx="0">
                    <c:v>Week 1</c:v>
                  </c:pt>
                </c:lvl>
              </c:multiLvlStrCache>
            </c:multiLvlStrRef>
          </c:cat>
          <c:val>
            <c:numRef>
              <c:f>Dashboard!$F$25:$J$25</c:f>
              <c:numCache>
                <c:formatCode>\₺#,##0.00;[RED]"(₺"#,##0.00\);\-</c:formatCode>
                <c:ptCount val="5"/>
                <c:pt idx="0">
                  <c:v>-85000</c:v>
                </c:pt>
                <c:pt idx="1">
                  <c:v>-0</c:v>
                </c:pt>
                <c:pt idx="2">
                  <c:v>-30000</c:v>
                </c:pt>
                <c:pt idx="3">
                  <c:v>-320000</c:v>
                </c:pt>
                <c:pt idx="4">
                  <c:v>-0</c:v>
                </c:pt>
              </c:numCache>
            </c:numRef>
          </c:val>
        </c:ser>
        <c:ser>
          <c:idx val="2"/>
          <c:order val="2"/>
          <c:tx>
            <c:strRef>
              <c:f>"UK HQ"</c:f>
              <c:strCache>
                <c:ptCount val="1"/>
                <c:pt idx="0">
                  <c:v>UK HQ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Dashboard!$F$22:$J$22</c:f>
              <c:multiLvlStrCache>
                <c:ptCount val="1"/>
                <c:lvl>
                  <c:pt idx="0">
                    <c:v>Week 5</c:v>
                  </c:pt>
                </c:lvl>
                <c:lvl>
                  <c:pt idx="0">
                    <c:v>Week 4</c:v>
                  </c:pt>
                </c:lvl>
                <c:lvl>
                  <c:pt idx="0">
                    <c:v>Week 3</c:v>
                  </c:pt>
                </c:lvl>
                <c:lvl>
                  <c:pt idx="0">
                    <c:v>Week 2</c:v>
                  </c:pt>
                </c:lvl>
                <c:lvl>
                  <c:pt idx="0">
                    <c:v>Week 1</c:v>
                  </c:pt>
                </c:lvl>
              </c:multiLvlStrCache>
            </c:multiLvlStrRef>
          </c:cat>
          <c:val>
            <c:numRef>
              <c:f>Dashboard!$F$26:$J$26</c:f>
              <c:numCache>
                <c:formatCode>\₺#,##0.00;[RED]"(₺"#,##0.00\);\-</c:formatCode>
                <c:ptCount val="5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</c:numCache>
            </c:numRef>
          </c:val>
        </c:ser>
        <c:gapWidth val="150"/>
        <c:overlap val="0"/>
        <c:axId val="64630779"/>
        <c:axId val="23117314"/>
      </c:barChart>
      <c:catAx>
        <c:axId val="646307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17314"/>
        <c:crosses val="autoZero"/>
        <c:auto val="1"/>
        <c:lblAlgn val="ctr"/>
        <c:lblOffset val="100"/>
        <c:noMultiLvlLbl val="0"/>
      </c:catAx>
      <c:valAx>
        <c:axId val="23117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307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Projected closing bank balance (₺)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"Closing balance"</c:f>
              <c:strCache>
                <c:ptCount val="1"/>
                <c:pt idx="0">
                  <c:v>Closing balance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Dashboard!$F$22:$J$22</c:f>
              <c:multiLvlStrCache>
                <c:ptCount val="1"/>
                <c:lvl>
                  <c:pt idx="0">
                    <c:v>Week 5</c:v>
                  </c:pt>
                </c:lvl>
                <c:lvl>
                  <c:pt idx="0">
                    <c:v>Week 4</c:v>
                  </c:pt>
                </c:lvl>
                <c:lvl>
                  <c:pt idx="0">
                    <c:v>Week 3</c:v>
                  </c:pt>
                </c:lvl>
                <c:lvl>
                  <c:pt idx="0">
                    <c:v>Week 2</c:v>
                  </c:pt>
                </c:lvl>
                <c:lvl>
                  <c:pt idx="0">
                    <c:v>Week 1</c:v>
                  </c:pt>
                </c:lvl>
              </c:multiLvlStrCache>
            </c:multiLvlStrRef>
          </c:cat>
          <c:val>
            <c:numRef>
              <c:f>Dashboard!$F$28:$J$28</c:f>
              <c:numCache>
                <c:formatCode>\₺#,##0.00;[RED]"(₺"#,##0.00\);\-</c:formatCode>
                <c:ptCount val="5"/>
                <c:pt idx="0">
                  <c:v>2450500</c:v>
                </c:pt>
                <c:pt idx="1">
                  <c:v>2510500</c:v>
                </c:pt>
                <c:pt idx="2">
                  <c:v>2573000</c:v>
                </c:pt>
                <c:pt idx="3">
                  <c:v>2253000</c:v>
                </c:pt>
                <c:pt idx="4">
                  <c:v>2253000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070908"/>
        <c:axId val="72585803"/>
      </c:lineChart>
      <c:catAx>
        <c:axId val="810709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85803"/>
        <c:crosses val="autoZero"/>
        <c:auto val="1"/>
        <c:lblAlgn val="ctr"/>
        <c:lblOffset val="100"/>
        <c:noMultiLvlLbl val="0"/>
      </c:catAx>
      <c:valAx>
        <c:axId val="725858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709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48</xdr:row>
      <xdr:rowOff>0</xdr:rowOff>
    </xdr:from>
    <xdr:to>
      <xdr:col>5</xdr:col>
      <xdr:colOff>1679040</xdr:colOff>
      <xdr:row>63</xdr:row>
      <xdr:rowOff>22320</xdr:rowOff>
    </xdr:to>
    <xdr:graphicFrame>
      <xdr:nvGraphicFramePr>
        <xdr:cNvPr id="0" name="Chart 1"/>
        <xdr:cNvGraphicFramePr/>
      </xdr:nvGraphicFramePr>
      <xdr:xfrm>
        <a:off x="266760" y="95346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48</xdr:row>
      <xdr:rowOff>0</xdr:rowOff>
    </xdr:from>
    <xdr:to>
      <xdr:col>10</xdr:col>
      <xdr:colOff>239040</xdr:colOff>
      <xdr:row>63</xdr:row>
      <xdr:rowOff>22320</xdr:rowOff>
    </xdr:to>
    <xdr:graphicFrame>
      <xdr:nvGraphicFramePr>
        <xdr:cNvPr id="1" name="Chart 2"/>
        <xdr:cNvGraphicFramePr/>
      </xdr:nvGraphicFramePr>
      <xdr:xfrm>
        <a:off x="8978760" y="95346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L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" min="4" style="0" width="3"/>
    <col collapsed="false" customWidth="true" hidden="false" outlineLevel="0" max="6" min="6" style="0" width="26"/>
    <col collapsed="false" customWidth="true" hidden="false" outlineLevel="0" max="11" min="7" style="0" width="18"/>
    <col collapsed="false" customWidth="true" hidden="false" outlineLevel="0" max="12" min="12" style="0" width="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B4" s="3" t="s">
        <v>2</v>
      </c>
      <c r="C4" s="3"/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4" t="s">
        <v>5</v>
      </c>
      <c r="C6" s="5" t="s">
        <v>6</v>
      </c>
    </row>
    <row r="7" customFormat="false" ht="15" hidden="false" customHeight="false" outlineLevel="0" collapsed="false">
      <c r="B7" s="4" t="s">
        <v>7</v>
      </c>
      <c r="C7" s="5" t="s">
        <v>8</v>
      </c>
      <c r="F7" s="3" t="s">
        <v>9</v>
      </c>
      <c r="G7" s="3"/>
      <c r="I7" s="6" t="s">
        <v>10</v>
      </c>
      <c r="J7" s="6"/>
      <c r="K7" s="6"/>
    </row>
    <row r="8" customFormat="false" ht="15" hidden="false" customHeight="false" outlineLevel="0" collapsed="false">
      <c r="B8" s="4" t="s">
        <v>11</v>
      </c>
      <c r="C8" s="7" t="n">
        <v>46265</v>
      </c>
      <c r="F8" s="8" t="s">
        <v>12</v>
      </c>
      <c r="G8" s="8" t="s">
        <v>13</v>
      </c>
      <c r="I8" s="9" t="s">
        <v>14</v>
      </c>
      <c r="J8" s="10" t="s">
        <v>15</v>
      </c>
      <c r="K8" s="10"/>
    </row>
    <row r="9" customFormat="false" ht="15" hidden="false" customHeight="false" outlineLevel="0" collapsed="false">
      <c r="B9" s="6" t="s">
        <v>16</v>
      </c>
      <c r="C9" s="11" t="s">
        <v>17</v>
      </c>
      <c r="F9" s="12" t="s">
        <v>18</v>
      </c>
      <c r="G9" s="13" t="n">
        <v>55.2</v>
      </c>
      <c r="I9" s="14" t="s">
        <v>19</v>
      </c>
      <c r="J9" s="10" t="s">
        <v>20</v>
      </c>
      <c r="K9" s="10"/>
    </row>
    <row r="10" customFormat="false" ht="15" hidden="false" customHeight="false" outlineLevel="0" collapsed="false">
      <c r="B10" s="4" t="s">
        <v>21</v>
      </c>
      <c r="C10" s="7" t="n">
        <v>46237</v>
      </c>
      <c r="F10" s="12" t="s">
        <v>22</v>
      </c>
      <c r="G10" s="13" t="n">
        <v>47.8</v>
      </c>
      <c r="I10" s="15" t="s">
        <v>23</v>
      </c>
      <c r="J10" s="10" t="s">
        <v>24</v>
      </c>
      <c r="K10" s="10"/>
    </row>
    <row r="11" customFormat="false" ht="15" hidden="false" customHeight="false" outlineLevel="0" collapsed="false">
      <c r="B11" s="4" t="s">
        <v>25</v>
      </c>
      <c r="C11" s="16" t="n">
        <f aca="false">C10+7</f>
        <v>46244</v>
      </c>
      <c r="F11" s="12" t="s">
        <v>26</v>
      </c>
      <c r="G11" s="13" t="n">
        <v>41.3</v>
      </c>
      <c r="I11" s="17" t="s">
        <v>27</v>
      </c>
      <c r="J11" s="10" t="s">
        <v>28</v>
      </c>
      <c r="K11" s="10"/>
    </row>
    <row r="12" customFormat="false" ht="15" hidden="false" customHeight="false" outlineLevel="0" collapsed="false">
      <c r="B12" s="4" t="s">
        <v>29</v>
      </c>
      <c r="C12" s="16" t="n">
        <f aca="false">C11+7</f>
        <v>46251</v>
      </c>
      <c r="F12" s="12" t="s">
        <v>30</v>
      </c>
      <c r="G12" s="18" t="n">
        <v>1</v>
      </c>
      <c r="I12" s="19" t="s">
        <v>31</v>
      </c>
      <c r="J12" s="10" t="s">
        <v>32</v>
      </c>
      <c r="K12" s="10"/>
    </row>
    <row r="13" customFormat="false" ht="15" hidden="false" customHeight="false" outlineLevel="0" collapsed="false">
      <c r="B13" s="4" t="s">
        <v>33</v>
      </c>
      <c r="C13" s="16" t="n">
        <f aca="false">C12+7</f>
        <v>46258</v>
      </c>
      <c r="I13" s="20" t="s">
        <v>34</v>
      </c>
    </row>
    <row r="14" customFormat="false" ht="15" hidden="false" customHeight="false" outlineLevel="0" collapsed="false">
      <c r="B14" s="4" t="s">
        <v>35</v>
      </c>
      <c r="C14" s="16" t="n">
        <f aca="false">C13+7</f>
        <v>46265</v>
      </c>
    </row>
    <row r="16" customFormat="false" ht="15" hidden="false" customHeight="false" outlineLevel="0" collapsed="false">
      <c r="B16" s="21" t="s">
        <v>36</v>
      </c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15" hidden="false" customHeight="false" outlineLevel="0" collapsed="false">
      <c r="B17" s="22" t="s">
        <v>37</v>
      </c>
      <c r="C17" s="22" t="s">
        <v>38</v>
      </c>
      <c r="D17" s="23"/>
      <c r="E17" s="23"/>
      <c r="F17" s="22" t="s">
        <v>39</v>
      </c>
      <c r="G17" s="22" t="s">
        <v>40</v>
      </c>
      <c r="H17" s="22" t="s">
        <v>41</v>
      </c>
      <c r="I17" s="22" t="s">
        <v>42</v>
      </c>
      <c r="J17" s="22" t="s">
        <v>43</v>
      </c>
    </row>
    <row r="18" customFormat="false" ht="27.75" hidden="false" customHeight="true" outlineLevel="0" collapsed="false">
      <c r="B18" s="24" t="n">
        <f aca="false">'Bank Balances'!H25</f>
        <v>2475500</v>
      </c>
      <c r="C18" s="25" t="n">
        <f aca="false">Receivables!M47</f>
        <v>305000</v>
      </c>
      <c r="D18" s="23"/>
      <c r="E18" s="23"/>
      <c r="F18" s="26" t="n">
        <f aca="false">Payables!N47</f>
        <v>34300</v>
      </c>
      <c r="G18" s="26" t="n">
        <f aca="false">'UK HQ Invoices'!P47</f>
        <v>1103480</v>
      </c>
      <c r="H18" s="27" t="n">
        <f aca="false">F18+G18</f>
        <v>1137780</v>
      </c>
      <c r="I18" s="24" t="n">
        <f aca="false">B18+C18-H18</f>
        <v>1642720</v>
      </c>
      <c r="J18" s="28" t="n">
        <f aca="false">IF(H18=0,"n/a",(B18+C18)/H18)</f>
        <v>2.44379405508974</v>
      </c>
    </row>
    <row r="20" customFormat="false" ht="15" hidden="false" customHeight="false" outlineLevel="0" collapsed="false">
      <c r="B20" s="21" t="s">
        <v>44</v>
      </c>
      <c r="C20" s="21"/>
      <c r="D20" s="21"/>
      <c r="E20" s="21"/>
      <c r="F20" s="21"/>
      <c r="G20" s="21"/>
      <c r="H20" s="21"/>
      <c r="I20" s="21"/>
      <c r="J20" s="21"/>
      <c r="K20" s="21"/>
    </row>
    <row r="21" customFormat="false" ht="15" hidden="false" customHeight="false" outlineLevel="0" collapsed="false">
      <c r="B21" s="4" t="s">
        <v>45</v>
      </c>
      <c r="C21" s="4"/>
      <c r="D21" s="4"/>
      <c r="E21" s="4"/>
      <c r="F21" s="29" t="n">
        <f aca="false">C10</f>
        <v>46237</v>
      </c>
      <c r="G21" s="29" t="n">
        <f aca="false">C11</f>
        <v>46244</v>
      </c>
      <c r="H21" s="29" t="n">
        <f aca="false">C12</f>
        <v>46251</v>
      </c>
      <c r="I21" s="29" t="n">
        <f aca="false">C13</f>
        <v>46258</v>
      </c>
      <c r="J21" s="29" t="n">
        <f aca="false">C14</f>
        <v>46265</v>
      </c>
      <c r="K21" s="8" t="s">
        <v>46</v>
      </c>
    </row>
    <row r="22" customFormat="false" ht="15" hidden="false" customHeight="false" outlineLevel="0" collapsed="false">
      <c r="B22" s="30" t="s">
        <v>47</v>
      </c>
      <c r="C22" s="30"/>
      <c r="D22" s="30"/>
      <c r="E22" s="30"/>
      <c r="F22" s="8" t="s">
        <v>21</v>
      </c>
      <c r="G22" s="8" t="s">
        <v>25</v>
      </c>
      <c r="H22" s="8" t="s">
        <v>29</v>
      </c>
      <c r="I22" s="8" t="s">
        <v>33</v>
      </c>
      <c r="J22" s="8" t="s">
        <v>35</v>
      </c>
      <c r="K22" s="31"/>
    </row>
    <row r="23" customFormat="false" ht="15" hidden="false" customHeight="false" outlineLevel="0" collapsed="false">
      <c r="B23" s="32" t="s">
        <v>48</v>
      </c>
      <c r="C23" s="32"/>
      <c r="D23" s="32"/>
      <c r="E23" s="32"/>
      <c r="F23" s="33" t="n">
        <f aca="false">'Bank Balances'!H25</f>
        <v>2475500</v>
      </c>
      <c r="G23" s="33" t="n">
        <f aca="false">F28</f>
        <v>2450500</v>
      </c>
      <c r="H23" s="33" t="n">
        <f aca="false">G28</f>
        <v>2510500</v>
      </c>
      <c r="I23" s="33" t="n">
        <f aca="false">H28</f>
        <v>2573000</v>
      </c>
      <c r="J23" s="33" t="n">
        <f aca="false">I28</f>
        <v>2253000</v>
      </c>
      <c r="K23" s="33" t="n">
        <f aca="false">F23</f>
        <v>2475500</v>
      </c>
    </row>
    <row r="24" customFormat="false" ht="15" hidden="false" customHeight="false" outlineLevel="0" collapsed="false">
      <c r="B24" s="34" t="s">
        <v>49</v>
      </c>
      <c r="C24" s="34"/>
      <c r="D24" s="34"/>
      <c r="E24" s="34"/>
      <c r="F24" s="35" t="n">
        <f aca="false">Receivables!G47</f>
        <v>60000</v>
      </c>
      <c r="G24" s="35" t="n">
        <f aca="false">Receivables!H47</f>
        <v>60000</v>
      </c>
      <c r="H24" s="35" t="n">
        <f aca="false">Receivables!I47</f>
        <v>92500</v>
      </c>
      <c r="I24" s="35" t="n">
        <f aca="false">Receivables!J47</f>
        <v>0</v>
      </c>
      <c r="J24" s="35" t="n">
        <f aca="false">Receivables!K47</f>
        <v>0</v>
      </c>
      <c r="K24" s="36" t="n">
        <f aca="false">SUM(F24:J24)</f>
        <v>212500</v>
      </c>
    </row>
    <row r="25" customFormat="false" ht="15" hidden="false" customHeight="false" outlineLevel="0" collapsed="false">
      <c r="B25" s="34" t="s">
        <v>50</v>
      </c>
      <c r="C25" s="34"/>
      <c r="D25" s="34"/>
      <c r="E25" s="34"/>
      <c r="F25" s="35" t="n">
        <f aca="false">-Payables!H47</f>
        <v>-85000</v>
      </c>
      <c r="G25" s="35" t="n">
        <f aca="false">-Payables!I47</f>
        <v>-0</v>
      </c>
      <c r="H25" s="35" t="n">
        <f aca="false">-Payables!J47</f>
        <v>-30000</v>
      </c>
      <c r="I25" s="35" t="n">
        <f aca="false">-Payables!K47</f>
        <v>-320000</v>
      </c>
      <c r="J25" s="35" t="n">
        <f aca="false">-Payables!L47</f>
        <v>-0</v>
      </c>
      <c r="K25" s="36" t="n">
        <f aca="false">SUM(F25:J25)</f>
        <v>-435000</v>
      </c>
    </row>
    <row r="26" customFormat="false" ht="15" hidden="false" customHeight="false" outlineLevel="0" collapsed="false">
      <c r="B26" s="34" t="s">
        <v>51</v>
      </c>
      <c r="C26" s="34"/>
      <c r="D26" s="34"/>
      <c r="E26" s="34"/>
      <c r="F26" s="35" t="n">
        <f aca="false">-'UK HQ Invoices'!J47</f>
        <v>-0</v>
      </c>
      <c r="G26" s="35" t="n">
        <f aca="false">-'UK HQ Invoices'!K47</f>
        <v>-0</v>
      </c>
      <c r="H26" s="35" t="n">
        <f aca="false">-'UK HQ Invoices'!L47</f>
        <v>-0</v>
      </c>
      <c r="I26" s="35" t="n">
        <f aca="false">-'UK HQ Invoices'!M47</f>
        <v>-0</v>
      </c>
      <c r="J26" s="35" t="n">
        <f aca="false">-'UK HQ Invoices'!N47</f>
        <v>-0</v>
      </c>
      <c r="K26" s="36" t="n">
        <f aca="false">SUM(F26:J26)</f>
        <v>0</v>
      </c>
    </row>
    <row r="27" customFormat="false" ht="15" hidden="false" customHeight="false" outlineLevel="0" collapsed="false">
      <c r="B27" s="32" t="s">
        <v>52</v>
      </c>
      <c r="C27" s="32"/>
      <c r="D27" s="32"/>
      <c r="E27" s="32"/>
      <c r="F27" s="33" t="n">
        <f aca="false">SUM(F24:F26)</f>
        <v>-25000</v>
      </c>
      <c r="G27" s="33" t="n">
        <f aca="false">SUM(G24:G26)</f>
        <v>60000</v>
      </c>
      <c r="H27" s="33" t="n">
        <f aca="false">SUM(H24:H26)</f>
        <v>62500</v>
      </c>
      <c r="I27" s="33" t="n">
        <f aca="false">SUM(I24:I26)</f>
        <v>-320000</v>
      </c>
      <c r="J27" s="33" t="n">
        <f aca="false">SUM(J24:J26)</f>
        <v>0</v>
      </c>
      <c r="K27" s="33" t="n">
        <f aca="false">SUM(F27:J27)</f>
        <v>-222500</v>
      </c>
    </row>
    <row r="28" customFormat="false" ht="15" hidden="false" customHeight="false" outlineLevel="0" collapsed="false">
      <c r="B28" s="37" t="s">
        <v>53</v>
      </c>
      <c r="C28" s="37"/>
      <c r="D28" s="37"/>
      <c r="E28" s="37"/>
      <c r="F28" s="38" t="n">
        <f aca="false">F23+F27</f>
        <v>2450500</v>
      </c>
      <c r="G28" s="38" t="n">
        <f aca="false">G23+G27</f>
        <v>2510500</v>
      </c>
      <c r="H28" s="38" t="n">
        <f aca="false">H23+H27</f>
        <v>2573000</v>
      </c>
      <c r="I28" s="38" t="n">
        <f aca="false">I23+I27</f>
        <v>2253000</v>
      </c>
      <c r="J28" s="38" t="n">
        <f aca="false">J23+J27</f>
        <v>2253000</v>
      </c>
      <c r="K28" s="38" t="n">
        <f aca="false">J28</f>
        <v>2253000</v>
      </c>
    </row>
    <row r="29" customFormat="false" ht="15" hidden="false" customHeight="false" outlineLevel="0" collapsed="false">
      <c r="B29" s="20" t="s">
        <v>54</v>
      </c>
      <c r="K29" s="39" t="n">
        <f aca="false">J28-(B18+K27)</f>
        <v>0</v>
      </c>
    </row>
    <row r="30" customFormat="false" ht="15" hidden="false" customHeight="false" outlineLevel="0" collapsed="false">
      <c r="B30" s="20" t="s">
        <v>55</v>
      </c>
    </row>
    <row r="32" customFormat="false" ht="15" hidden="false" customHeight="false" outlineLevel="0" collapsed="false">
      <c r="B32" s="21" t="s">
        <v>56</v>
      </c>
      <c r="C32" s="21"/>
      <c r="D32" s="21"/>
      <c r="E32" s="21"/>
      <c r="F32" s="21"/>
      <c r="G32" s="21"/>
      <c r="H32" s="21"/>
      <c r="I32" s="21"/>
      <c r="J32" s="21"/>
      <c r="K32" s="21"/>
    </row>
    <row r="33" customFormat="false" ht="15" hidden="false" customHeight="false" outlineLevel="0" collapsed="false">
      <c r="B33" s="6" t="s">
        <v>57</v>
      </c>
      <c r="C33" s="11" t="s">
        <v>58</v>
      </c>
      <c r="F33" s="6" t="s">
        <v>59</v>
      </c>
      <c r="G33" s="11" t="s">
        <v>58</v>
      </c>
      <c r="I33" s="6" t="s">
        <v>60</v>
      </c>
      <c r="J33" s="11" t="s">
        <v>58</v>
      </c>
      <c r="K33" s="11" t="s">
        <v>61</v>
      </c>
    </row>
    <row r="34" customFormat="false" ht="15" hidden="false" customHeight="false" outlineLevel="0" collapsed="false">
      <c r="B34" s="10" t="s">
        <v>62</v>
      </c>
      <c r="C34" s="35" t="n">
        <f aca="false">SUMIF(Receivables!P7:P46,"Open",Receivables!M7:M46)</f>
        <v>240000</v>
      </c>
      <c r="F34" s="10" t="s">
        <v>63</v>
      </c>
      <c r="G34" s="35" t="n">
        <f aca="false">SUMIF(Payables!C7:C46,F34,Payables!N7:N46)</f>
        <v>0</v>
      </c>
      <c r="I34" s="10" t="s">
        <v>64</v>
      </c>
      <c r="J34" s="35" t="n">
        <f aca="false">SUMIF('UK HQ Invoices'!R7:R46,I34,'UK HQ Invoices'!P7:P46)</f>
        <v>0</v>
      </c>
      <c r="K34" s="40" t="n">
        <f aca="false">IF($J$39=0,"",J34/$J$39)</f>
        <v>0</v>
      </c>
    </row>
    <row r="35" customFormat="false" ht="15" hidden="false" customHeight="false" outlineLevel="0" collapsed="false">
      <c r="B35" s="10" t="s">
        <v>65</v>
      </c>
      <c r="C35" s="35" t="n">
        <f aca="false">SUMIF(Receivables!P7:P46,"Overdue",Receivables!M7:M46)</f>
        <v>65000</v>
      </c>
      <c r="F35" s="10" t="s">
        <v>66</v>
      </c>
      <c r="G35" s="35" t="n">
        <f aca="false">SUMIF(Payables!C7:C46,F35,Payables!N7:N46)</f>
        <v>0</v>
      </c>
      <c r="I35" s="10" t="s">
        <v>67</v>
      </c>
      <c r="J35" s="35" t="n">
        <f aca="false">SUMIF('UK HQ Invoices'!R7:R46,I35,'UK HQ Invoices'!P7:P46)</f>
        <v>181640</v>
      </c>
      <c r="K35" s="40" t="n">
        <f aca="false">IF($J$39=0,"",J35/$J$39)</f>
        <v>0.16460651756262</v>
      </c>
    </row>
    <row r="36" customFormat="false" ht="15" hidden="false" customHeight="false" outlineLevel="0" collapsed="false">
      <c r="B36" s="10" t="s">
        <v>68</v>
      </c>
      <c r="C36" s="35" t="n">
        <f aca="false">SUMIF(Receivables!P7:P46,"Collected",Receivables!L7:L46)</f>
        <v>92500</v>
      </c>
      <c r="F36" s="10" t="s">
        <v>69</v>
      </c>
      <c r="G36" s="35" t="n">
        <f aca="false">SUMIF(Payables!C7:C46,F36,Payables!N7:N46)</f>
        <v>34300</v>
      </c>
      <c r="I36" s="10" t="s">
        <v>70</v>
      </c>
      <c r="J36" s="35" t="n">
        <f aca="false">SUMIF('UK HQ Invoices'!R7:R46,I36,'UK HQ Invoices'!P7:P46)</f>
        <v>231840</v>
      </c>
      <c r="K36" s="40" t="n">
        <f aca="false">IF($J$39=0,"",J36/$J$39)</f>
        <v>0.21009895965491</v>
      </c>
    </row>
    <row r="37" customFormat="false" ht="15" hidden="false" customHeight="false" outlineLevel="0" collapsed="false">
      <c r="B37" s="41" t="s">
        <v>71</v>
      </c>
      <c r="C37" s="42" t="n">
        <f aca="false">Receivables!F47</f>
        <v>517500</v>
      </c>
      <c r="F37" s="10" t="s">
        <v>72</v>
      </c>
      <c r="G37" s="35" t="n">
        <f aca="false">SUMIF(Payables!C7:C46,F37,Payables!N7:N46)</f>
        <v>0</v>
      </c>
      <c r="I37" s="10" t="s">
        <v>73</v>
      </c>
      <c r="J37" s="35" t="n">
        <f aca="false">SUMIF('UK HQ Invoices'!R7:R46,I37,'UK HQ Invoices'!P7:P46)</f>
        <v>690000</v>
      </c>
      <c r="K37" s="40" t="n">
        <f aca="false">IF($J$39=0,"",J37/$J$39)</f>
        <v>0.62529452278247</v>
      </c>
    </row>
    <row r="38" customFormat="false" ht="15" hidden="false" customHeight="false" outlineLevel="0" collapsed="false">
      <c r="B38" s="41" t="s">
        <v>74</v>
      </c>
      <c r="C38" s="43" t="n">
        <f aca="false">Receivables!N47</f>
        <v>0.410628019323672</v>
      </c>
      <c r="F38" s="10" t="s">
        <v>75</v>
      </c>
      <c r="G38" s="35" t="n">
        <f aca="false">SUMIF(Payables!C7:C46,F38,Payables!N7:N46)</f>
        <v>0</v>
      </c>
      <c r="I38" s="10" t="s">
        <v>76</v>
      </c>
      <c r="J38" s="35" t="n">
        <f aca="false">SUMIF('UK HQ Invoices'!R7:R46,I38,'UK HQ Invoices'!P7:P46)</f>
        <v>0</v>
      </c>
      <c r="K38" s="40" t="n">
        <f aca="false">IF($J$39=0,"",J38/$J$39)</f>
        <v>0</v>
      </c>
    </row>
    <row r="39" customFormat="false" ht="15" hidden="false" customHeight="false" outlineLevel="0" collapsed="false">
      <c r="B39" s="41" t="s">
        <v>77</v>
      </c>
      <c r="C39" s="44" t="n">
        <f aca="false">Receivables!O47</f>
        <v>1</v>
      </c>
      <c r="F39" s="10" t="s">
        <v>78</v>
      </c>
      <c r="G39" s="35" t="n">
        <f aca="false">SUMIF(Payables!C7:C46,F39,Payables!N7:N46)</f>
        <v>0</v>
      </c>
      <c r="I39" s="41" t="s">
        <v>79</v>
      </c>
      <c r="J39" s="33" t="n">
        <f aca="false">SUM(J34:J38)</f>
        <v>1103480</v>
      </c>
      <c r="K39" s="45" t="n">
        <f aca="false">IF(J39=0,"",1)</f>
        <v>1</v>
      </c>
    </row>
    <row r="40" customFormat="false" ht="15" hidden="false" customHeight="false" outlineLevel="0" collapsed="false">
      <c r="F40" s="10" t="s">
        <v>80</v>
      </c>
      <c r="G40" s="35" t="n">
        <f aca="false">SUMIF(Payables!C7:C46,F40,Payables!N7:N46)</f>
        <v>0</v>
      </c>
      <c r="I40" s="41" t="s">
        <v>81</v>
      </c>
      <c r="J40" s="44" t="n">
        <f aca="false">'UK HQ Invoices'!Q47</f>
        <v>3</v>
      </c>
      <c r="K40" s="46"/>
    </row>
    <row r="41" customFormat="false" ht="15" hidden="false" customHeight="false" outlineLevel="0" collapsed="false">
      <c r="B41" s="6" t="s">
        <v>82</v>
      </c>
      <c r="C41" s="11" t="s">
        <v>83</v>
      </c>
      <c r="F41" s="10" t="s">
        <v>84</v>
      </c>
      <c r="G41" s="35" t="n">
        <f aca="false">SUMIF(Payables!C7:C46,F41,Payables!N7:N46)</f>
        <v>0</v>
      </c>
    </row>
    <row r="42" customFormat="false" ht="15" hidden="false" customHeight="false" outlineLevel="0" collapsed="false">
      <c r="B42" s="10" t="s">
        <v>30</v>
      </c>
      <c r="C42" s="35" t="n">
        <f aca="false">SUMIF('Bank Balances'!E5:E24,B42,'Bank Balances'!H5:H24)</f>
        <v>1758500</v>
      </c>
      <c r="F42" s="10" t="s">
        <v>85</v>
      </c>
      <c r="G42" s="35" t="n">
        <f aca="false">SUMIF(Payables!C7:C46,F42,Payables!N7:N46)</f>
        <v>0</v>
      </c>
    </row>
    <row r="43" customFormat="false" ht="15" hidden="false" customHeight="false" outlineLevel="0" collapsed="false">
      <c r="B43" s="10" t="s">
        <v>18</v>
      </c>
      <c r="C43" s="35" t="n">
        <f aca="false">SUMIF('Bank Balances'!E5:E24,B43,'Bank Balances'!H5:H24)</f>
        <v>0</v>
      </c>
      <c r="F43" s="41" t="s">
        <v>79</v>
      </c>
      <c r="G43" s="33" t="n">
        <f aca="false">SUM(G34:G42)</f>
        <v>34300</v>
      </c>
    </row>
    <row r="44" customFormat="false" ht="15" hidden="false" customHeight="false" outlineLevel="0" collapsed="false">
      <c r="B44" s="10" t="s">
        <v>22</v>
      </c>
      <c r="C44" s="35" t="n">
        <f aca="false">SUMIF('Bank Balances'!E5:E24,B44,'Bank Balances'!H5:H24)</f>
        <v>717000</v>
      </c>
      <c r="F44" s="47" t="s">
        <v>86</v>
      </c>
      <c r="G44" s="48" t="n">
        <f aca="false">G43-Payables!N47</f>
        <v>0</v>
      </c>
    </row>
    <row r="45" customFormat="false" ht="15" hidden="false" customHeight="false" outlineLevel="0" collapsed="false">
      <c r="B45" s="10" t="s">
        <v>26</v>
      </c>
      <c r="C45" s="35" t="n">
        <f aca="false">SUMIF('Bank Balances'!E5:E24,B45,'Bank Balances'!H5:H24)</f>
        <v>0</v>
      </c>
      <c r="F45" s="41" t="s">
        <v>87</v>
      </c>
      <c r="G45" s="44" t="n">
        <f aca="false">Payables!P47</f>
        <v>1</v>
      </c>
    </row>
    <row r="46" customFormat="false" ht="15" hidden="false" customHeight="false" outlineLevel="0" collapsed="false">
      <c r="B46" s="41" t="s">
        <v>88</v>
      </c>
      <c r="C46" s="42" t="n">
        <f aca="false">'Bank Balances'!H26</f>
        <v>1975500</v>
      </c>
    </row>
  </sheetData>
  <mergeCells count="22">
    <mergeCell ref="A1:L1"/>
    <mergeCell ref="A2:L2"/>
    <mergeCell ref="B4:C4"/>
    <mergeCell ref="F7:G7"/>
    <mergeCell ref="I7:K7"/>
    <mergeCell ref="J8:K8"/>
    <mergeCell ref="J9:K9"/>
    <mergeCell ref="J10:K10"/>
    <mergeCell ref="J11:K11"/>
    <mergeCell ref="J12:K12"/>
    <mergeCell ref="B16:K16"/>
    <mergeCell ref="D17:E18"/>
    <mergeCell ref="B20:K20"/>
    <mergeCell ref="B21:E21"/>
    <mergeCell ref="B22:E22"/>
    <mergeCell ref="B23:E23"/>
    <mergeCell ref="B24:E24"/>
    <mergeCell ref="B25:E25"/>
    <mergeCell ref="B26:E26"/>
    <mergeCell ref="B27:E27"/>
    <mergeCell ref="B28:E28"/>
    <mergeCell ref="B32:K32"/>
  </mergeCells>
  <conditionalFormatting sqref="I18">
    <cfRule type="cellIs" priority="2" operator="lessThan" aboveAverage="0" equalAverage="0" bottom="0" percent="0" rank="0" text="" dxfId="0">
      <formula>0</formula>
    </cfRule>
  </conditionalFormatting>
  <conditionalFormatting sqref="J18">
    <cfRule type="cellIs" priority="3" operator="lessThan" aboveAverage="0" equalAverage="0" bottom="0" percent="0" rank="0" text="" dxfId="0">
      <formula>1</formula>
    </cfRule>
  </conditionalFormatting>
  <conditionalFormatting sqref="F28:K28">
    <cfRule type="cellIs" priority="4" operator="lessThan" aboveAverage="0" equalAverage="0" bottom="0" percent="0" rank="0" text="" dxfId="1">
      <formula>0</formula>
    </cfRule>
  </conditionalFormatting>
  <conditionalFormatting sqref="F27:K27">
    <cfRule type="cellIs" priority="5" operator="lessThan" aboveAverage="0" equalAverage="0" bottom="0" percent="0" rank="0" text="" dxfId="2">
      <formula>0</formula>
    </cfRule>
  </conditionalFormatting>
  <conditionalFormatting sqref="J38">
    <cfRule type="cellIs" priority="6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&amp;RConfidential</oddHeader>
    <oddFooter>&amp;C&amp;A – Page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Q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8"/>
    <col collapsed="false" customWidth="true" hidden="false" outlineLevel="0" max="11" min="7" style="0" width="15"/>
    <col collapsed="false" customWidth="true" hidden="false" outlineLevel="0" max="13" min="12" style="0" width="18"/>
    <col collapsed="false" customWidth="true" hidden="false" outlineLevel="0" max="15" min="14" style="0" width="11"/>
    <col collapsed="false" customWidth="true" hidden="false" outlineLevel="0" max="16" min="16" style="0" width="12"/>
    <col collapsed="false" customWidth="true" hidden="false" outlineLevel="0" max="17" min="17" style="0" width="30"/>
  </cols>
  <sheetData>
    <row r="1" customFormat="false" ht="30" hidden="false" customHeight="true" outlineLevel="0" collapsed="false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8" hidden="false" customHeight="true" outlineLevel="0" collapsed="false">
      <c r="A2" s="2" t="s">
        <v>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5" hidden="false" customHeight="false" outlineLevel="0" collapsed="false">
      <c r="G4" s="49" t="s">
        <v>91</v>
      </c>
      <c r="H4" s="49"/>
      <c r="I4" s="49"/>
      <c r="J4" s="49"/>
      <c r="K4" s="49"/>
    </row>
    <row r="5" customFormat="false" ht="31.5" hidden="false" customHeight="true" outlineLevel="0" collapsed="false">
      <c r="A5" s="50" t="s">
        <v>92</v>
      </c>
      <c r="B5" s="50" t="s">
        <v>93</v>
      </c>
      <c r="C5" s="50" t="s">
        <v>94</v>
      </c>
      <c r="D5" s="50" t="s">
        <v>95</v>
      </c>
      <c r="E5" s="50" t="s">
        <v>96</v>
      </c>
      <c r="F5" s="50" t="s">
        <v>97</v>
      </c>
      <c r="G5" s="50" t="s">
        <v>21</v>
      </c>
      <c r="H5" s="50" t="s">
        <v>25</v>
      </c>
      <c r="I5" s="50" t="s">
        <v>29</v>
      </c>
      <c r="J5" s="50" t="s">
        <v>33</v>
      </c>
      <c r="K5" s="50" t="s">
        <v>35</v>
      </c>
      <c r="L5" s="50" t="s">
        <v>98</v>
      </c>
      <c r="M5" s="50" t="s">
        <v>99</v>
      </c>
      <c r="N5" s="50" t="s">
        <v>100</v>
      </c>
      <c r="O5" s="50" t="s">
        <v>101</v>
      </c>
      <c r="P5" s="50" t="s">
        <v>102</v>
      </c>
      <c r="Q5" s="50" t="s">
        <v>103</v>
      </c>
    </row>
    <row r="6" customFormat="false" ht="15" hidden="false" customHeight="false" outlineLevel="0" collapsed="false">
      <c r="A6" s="51"/>
      <c r="B6" s="52" t="s">
        <v>104</v>
      </c>
      <c r="C6" s="51"/>
      <c r="D6" s="51"/>
      <c r="E6" s="51"/>
      <c r="F6" s="51"/>
      <c r="G6" s="53" t="n">
        <f aca="false">Dashboard!$C$10</f>
        <v>46237</v>
      </c>
      <c r="H6" s="53" t="n">
        <f aca="false">Dashboard!$C$11</f>
        <v>46244</v>
      </c>
      <c r="I6" s="53" t="n">
        <f aca="false">Dashboard!$C$12</f>
        <v>46251</v>
      </c>
      <c r="J6" s="53" t="n">
        <f aca="false">Dashboard!$C$13</f>
        <v>46258</v>
      </c>
      <c r="K6" s="53" t="n">
        <f aca="false">Dashboard!$C$14</f>
        <v>46265</v>
      </c>
      <c r="L6" s="51"/>
      <c r="M6" s="51"/>
      <c r="N6" s="51"/>
      <c r="O6" s="51"/>
      <c r="P6" s="51"/>
      <c r="Q6" s="51"/>
    </row>
    <row r="7" customFormat="false" ht="15" hidden="false" customHeight="false" outlineLevel="0" collapsed="false">
      <c r="A7" s="54" t="n">
        <f aca="false">IF(B7="","",ROW()-6)</f>
        <v>1</v>
      </c>
      <c r="B7" s="5" t="s">
        <v>105</v>
      </c>
      <c r="C7" s="5" t="s">
        <v>106</v>
      </c>
      <c r="D7" s="55" t="n">
        <v>46218</v>
      </c>
      <c r="E7" s="55" t="n">
        <v>46248</v>
      </c>
      <c r="F7" s="56" t="n">
        <v>185000</v>
      </c>
      <c r="G7" s="56" t="n">
        <v>60000</v>
      </c>
      <c r="H7" s="56" t="n">
        <v>60000</v>
      </c>
      <c r="I7" s="56"/>
      <c r="J7" s="56"/>
      <c r="K7" s="56"/>
      <c r="L7" s="57" t="n">
        <f aca="false">IF(B7="","",SUM(G7:K7))</f>
        <v>120000</v>
      </c>
      <c r="M7" s="36" t="n">
        <f aca="false">IF(B7="","",F7-L7)</f>
        <v>65000</v>
      </c>
      <c r="N7" s="40" t="n">
        <f aca="false">IF(OR(B7="",F7=0),"",L7/F7)</f>
        <v>0.648648648648649</v>
      </c>
      <c r="O7" s="54" t="n">
        <f aca="false">IF(OR(B7="",E7="",M7&lt;=0),"",MAX(0,Dashboard!$C$8-E7))</f>
        <v>17</v>
      </c>
      <c r="P7" s="12" t="str">
        <f aca="false">IF(B7="","",IF(M7&lt;=0,"Collected",IF(AND(O7&lt;&gt;"",O7&gt;0),"Overdue","Open")))</f>
        <v>Overdue</v>
      </c>
      <c r="Q7" s="5" t="s">
        <v>107</v>
      </c>
    </row>
    <row r="8" customFormat="false" ht="15" hidden="false" customHeight="false" outlineLevel="0" collapsed="false">
      <c r="A8" s="58" t="n">
        <f aca="false">IF(B8="","",ROW()-6)</f>
        <v>2</v>
      </c>
      <c r="B8" s="59" t="s">
        <v>108</v>
      </c>
      <c r="C8" s="59" t="s">
        <v>109</v>
      </c>
      <c r="D8" s="60" t="n">
        <v>46231</v>
      </c>
      <c r="E8" s="60" t="n">
        <v>46261</v>
      </c>
      <c r="F8" s="61" t="n">
        <v>92500</v>
      </c>
      <c r="G8" s="61"/>
      <c r="H8" s="61"/>
      <c r="I8" s="61" t="n">
        <v>92500</v>
      </c>
      <c r="J8" s="61"/>
      <c r="K8" s="61"/>
      <c r="L8" s="62" t="n">
        <f aca="false">IF(B8="","",SUM(G8:K8))</f>
        <v>92500</v>
      </c>
      <c r="M8" s="63" t="n">
        <f aca="false">IF(B8="","",F8-L8)</f>
        <v>0</v>
      </c>
      <c r="N8" s="64" t="n">
        <f aca="false">IF(OR(B8="",F8=0),"",L8/F8)</f>
        <v>1</v>
      </c>
      <c r="O8" s="58" t="str">
        <f aca="false">IF(OR(B8="",E8="",M8&lt;=0),"",MAX(0,Dashboard!$C$8-E8))</f>
        <v/>
      </c>
      <c r="P8" s="65" t="str">
        <f aca="false">IF(B8="","",IF(M8&lt;=0,"Collected",IF(AND(O8&lt;&gt;"",O8&gt;0),"Overdue","Open")))</f>
        <v>Collected</v>
      </c>
      <c r="Q8" s="59" t="s">
        <v>107</v>
      </c>
    </row>
    <row r="9" customFormat="false" ht="15" hidden="false" customHeight="false" outlineLevel="0" collapsed="false">
      <c r="A9" s="54" t="n">
        <f aca="false">IF(B9="","",ROW()-6)</f>
        <v>3</v>
      </c>
      <c r="B9" s="5" t="s">
        <v>110</v>
      </c>
      <c r="C9" s="5" t="s">
        <v>111</v>
      </c>
      <c r="D9" s="55" t="n">
        <v>46237</v>
      </c>
      <c r="E9" s="55" t="n">
        <v>46267</v>
      </c>
      <c r="F9" s="56" t="n">
        <v>240000</v>
      </c>
      <c r="G9" s="56"/>
      <c r="H9" s="56"/>
      <c r="I9" s="56"/>
      <c r="J9" s="56"/>
      <c r="K9" s="56"/>
      <c r="L9" s="57" t="n">
        <f aca="false">IF(B9="","",SUM(G9:K9))</f>
        <v>0</v>
      </c>
      <c r="M9" s="36" t="n">
        <f aca="false">IF(B9="","",F9-L9)</f>
        <v>240000</v>
      </c>
      <c r="N9" s="40" t="n">
        <f aca="false">IF(OR(B9="",F9=0),"",L9/F9)</f>
        <v>0</v>
      </c>
      <c r="O9" s="54" t="n">
        <f aca="false">IF(OR(B9="",E9="",M9&lt;=0),"",MAX(0,Dashboard!$C$8-E9))</f>
        <v>0</v>
      </c>
      <c r="P9" s="12" t="str">
        <f aca="false">IF(B9="","",IF(M9&lt;=0,"Collected",IF(AND(O9&lt;&gt;"",O9&gt;0),"Overdue","Open")))</f>
        <v>Open</v>
      </c>
      <c r="Q9" s="5" t="s">
        <v>107</v>
      </c>
    </row>
    <row r="10" customFormat="false" ht="15" hidden="false" customHeight="false" outlineLevel="0" collapsed="false">
      <c r="A10" s="58" t="str">
        <f aca="false">IF(B10="","",ROW()-6)</f>
        <v/>
      </c>
      <c r="B10" s="59"/>
      <c r="C10" s="59"/>
      <c r="D10" s="60"/>
      <c r="E10" s="60"/>
      <c r="F10" s="61"/>
      <c r="G10" s="61"/>
      <c r="H10" s="61"/>
      <c r="I10" s="61"/>
      <c r="J10" s="61"/>
      <c r="K10" s="61"/>
      <c r="L10" s="62" t="str">
        <f aca="false">IF(B10="","",SUM(G10:K10))</f>
        <v/>
      </c>
      <c r="M10" s="63" t="str">
        <f aca="false">IF(B10="","",F10-L10)</f>
        <v/>
      </c>
      <c r="N10" s="64" t="str">
        <f aca="false">IF(OR(B10="",F10=0),"",L10/F10)</f>
        <v/>
      </c>
      <c r="O10" s="58" t="str">
        <f aca="false">IF(OR(B10="",E10="",M10&lt;=0),"",MAX(0,Dashboard!$C$8-E10))</f>
        <v/>
      </c>
      <c r="P10" s="65" t="str">
        <f aca="false">IF(B10="","",IF(M10&lt;=0,"Collected",IF(AND(O10&lt;&gt;"",O10&gt;0),"Overdue","Open")))</f>
        <v/>
      </c>
      <c r="Q10" s="59"/>
    </row>
    <row r="11" customFormat="false" ht="15" hidden="false" customHeight="false" outlineLevel="0" collapsed="false">
      <c r="A11" s="54" t="str">
        <f aca="false">IF(B11="","",ROW()-6)</f>
        <v/>
      </c>
      <c r="B11" s="5"/>
      <c r="C11" s="5"/>
      <c r="D11" s="55"/>
      <c r="E11" s="55"/>
      <c r="F11" s="56"/>
      <c r="G11" s="56"/>
      <c r="H11" s="56"/>
      <c r="I11" s="56"/>
      <c r="J11" s="56"/>
      <c r="K11" s="56"/>
      <c r="L11" s="57" t="str">
        <f aca="false">IF(B11="","",SUM(G11:K11))</f>
        <v/>
      </c>
      <c r="M11" s="36" t="str">
        <f aca="false">IF(B11="","",F11-L11)</f>
        <v/>
      </c>
      <c r="N11" s="40" t="str">
        <f aca="false">IF(OR(B11="",F11=0),"",L11/F11)</f>
        <v/>
      </c>
      <c r="O11" s="54" t="str">
        <f aca="false">IF(OR(B11="",E11="",M11&lt;=0),"",MAX(0,Dashboard!$C$8-E11))</f>
        <v/>
      </c>
      <c r="P11" s="12" t="str">
        <f aca="false">IF(B11="","",IF(M11&lt;=0,"Collected",IF(AND(O11&lt;&gt;"",O11&gt;0),"Overdue","Open")))</f>
        <v/>
      </c>
      <c r="Q11" s="5"/>
    </row>
    <row r="12" customFormat="false" ht="15" hidden="false" customHeight="false" outlineLevel="0" collapsed="false">
      <c r="A12" s="58" t="str">
        <f aca="false">IF(B12="","",ROW()-6)</f>
        <v/>
      </c>
      <c r="B12" s="59"/>
      <c r="C12" s="59"/>
      <c r="D12" s="60"/>
      <c r="E12" s="60"/>
      <c r="F12" s="61"/>
      <c r="G12" s="61"/>
      <c r="H12" s="61"/>
      <c r="I12" s="61"/>
      <c r="J12" s="61"/>
      <c r="K12" s="61"/>
      <c r="L12" s="62" t="str">
        <f aca="false">IF(B12="","",SUM(G12:K12))</f>
        <v/>
      </c>
      <c r="M12" s="63" t="str">
        <f aca="false">IF(B12="","",F12-L12)</f>
        <v/>
      </c>
      <c r="N12" s="64" t="str">
        <f aca="false">IF(OR(B12="",F12=0),"",L12/F12)</f>
        <v/>
      </c>
      <c r="O12" s="58" t="str">
        <f aca="false">IF(OR(B12="",E12="",M12&lt;=0),"",MAX(0,Dashboard!$C$8-E12))</f>
        <v/>
      </c>
      <c r="P12" s="65" t="str">
        <f aca="false">IF(B12="","",IF(M12&lt;=0,"Collected",IF(AND(O12&lt;&gt;"",O12&gt;0),"Overdue","Open")))</f>
        <v/>
      </c>
      <c r="Q12" s="59"/>
    </row>
    <row r="13" customFormat="false" ht="15" hidden="false" customHeight="false" outlineLevel="0" collapsed="false">
      <c r="A13" s="54" t="str">
        <f aca="false">IF(B13="","",ROW()-6)</f>
        <v/>
      </c>
      <c r="B13" s="5"/>
      <c r="C13" s="5"/>
      <c r="D13" s="55"/>
      <c r="E13" s="55"/>
      <c r="F13" s="56"/>
      <c r="G13" s="56"/>
      <c r="H13" s="56"/>
      <c r="I13" s="56"/>
      <c r="J13" s="56"/>
      <c r="K13" s="56"/>
      <c r="L13" s="57" t="str">
        <f aca="false">IF(B13="","",SUM(G13:K13))</f>
        <v/>
      </c>
      <c r="M13" s="36" t="str">
        <f aca="false">IF(B13="","",F13-L13)</f>
        <v/>
      </c>
      <c r="N13" s="40" t="str">
        <f aca="false">IF(OR(B13="",F13=0),"",L13/F13)</f>
        <v/>
      </c>
      <c r="O13" s="54" t="str">
        <f aca="false">IF(OR(B13="",E13="",M13&lt;=0),"",MAX(0,Dashboard!$C$8-E13))</f>
        <v/>
      </c>
      <c r="P13" s="12" t="str">
        <f aca="false">IF(B13="","",IF(M13&lt;=0,"Collected",IF(AND(O13&lt;&gt;"",O13&gt;0),"Overdue","Open")))</f>
        <v/>
      </c>
      <c r="Q13" s="5"/>
    </row>
    <row r="14" customFormat="false" ht="15" hidden="false" customHeight="false" outlineLevel="0" collapsed="false">
      <c r="A14" s="58" t="str">
        <f aca="false">IF(B14="","",ROW()-6)</f>
        <v/>
      </c>
      <c r="B14" s="59"/>
      <c r="C14" s="59"/>
      <c r="D14" s="60"/>
      <c r="E14" s="60"/>
      <c r="F14" s="61"/>
      <c r="G14" s="61"/>
      <c r="H14" s="61"/>
      <c r="I14" s="61"/>
      <c r="J14" s="61"/>
      <c r="K14" s="61"/>
      <c r="L14" s="62" t="str">
        <f aca="false">IF(B14="","",SUM(G14:K14))</f>
        <v/>
      </c>
      <c r="M14" s="63" t="str">
        <f aca="false">IF(B14="","",F14-L14)</f>
        <v/>
      </c>
      <c r="N14" s="64" t="str">
        <f aca="false">IF(OR(B14="",F14=0),"",L14/F14)</f>
        <v/>
      </c>
      <c r="O14" s="58" t="str">
        <f aca="false">IF(OR(B14="",E14="",M14&lt;=0),"",MAX(0,Dashboard!$C$8-E14))</f>
        <v/>
      </c>
      <c r="P14" s="65" t="str">
        <f aca="false">IF(B14="","",IF(M14&lt;=0,"Collected",IF(AND(O14&lt;&gt;"",O14&gt;0),"Overdue","Open")))</f>
        <v/>
      </c>
      <c r="Q14" s="59"/>
    </row>
    <row r="15" customFormat="false" ht="15" hidden="false" customHeight="false" outlineLevel="0" collapsed="false">
      <c r="A15" s="54" t="str">
        <f aca="false">IF(B15="","",ROW()-6)</f>
        <v/>
      </c>
      <c r="B15" s="5"/>
      <c r="C15" s="5"/>
      <c r="D15" s="55"/>
      <c r="E15" s="55"/>
      <c r="F15" s="56"/>
      <c r="G15" s="56"/>
      <c r="H15" s="56"/>
      <c r="I15" s="56"/>
      <c r="J15" s="56"/>
      <c r="K15" s="56"/>
      <c r="L15" s="57" t="str">
        <f aca="false">IF(B15="","",SUM(G15:K15))</f>
        <v/>
      </c>
      <c r="M15" s="36" t="str">
        <f aca="false">IF(B15="","",F15-L15)</f>
        <v/>
      </c>
      <c r="N15" s="40" t="str">
        <f aca="false">IF(OR(B15="",F15=0),"",L15/F15)</f>
        <v/>
      </c>
      <c r="O15" s="54" t="str">
        <f aca="false">IF(OR(B15="",E15="",M15&lt;=0),"",MAX(0,Dashboard!$C$8-E15))</f>
        <v/>
      </c>
      <c r="P15" s="12" t="str">
        <f aca="false">IF(B15="","",IF(M15&lt;=0,"Collected",IF(AND(O15&lt;&gt;"",O15&gt;0),"Overdue","Open")))</f>
        <v/>
      </c>
      <c r="Q15" s="5"/>
    </row>
    <row r="16" customFormat="false" ht="15" hidden="false" customHeight="false" outlineLevel="0" collapsed="false">
      <c r="A16" s="58" t="str">
        <f aca="false">IF(B16="","",ROW()-6)</f>
        <v/>
      </c>
      <c r="B16" s="59"/>
      <c r="C16" s="59"/>
      <c r="D16" s="60"/>
      <c r="E16" s="60"/>
      <c r="F16" s="61"/>
      <c r="G16" s="61"/>
      <c r="H16" s="61"/>
      <c r="I16" s="61"/>
      <c r="J16" s="61"/>
      <c r="K16" s="61"/>
      <c r="L16" s="62" t="str">
        <f aca="false">IF(B16="","",SUM(G16:K16))</f>
        <v/>
      </c>
      <c r="M16" s="63" t="str">
        <f aca="false">IF(B16="","",F16-L16)</f>
        <v/>
      </c>
      <c r="N16" s="64" t="str">
        <f aca="false">IF(OR(B16="",F16=0),"",L16/F16)</f>
        <v/>
      </c>
      <c r="O16" s="58" t="str">
        <f aca="false">IF(OR(B16="",E16="",M16&lt;=0),"",MAX(0,Dashboard!$C$8-E16))</f>
        <v/>
      </c>
      <c r="P16" s="65" t="str">
        <f aca="false">IF(B16="","",IF(M16&lt;=0,"Collected",IF(AND(O16&lt;&gt;"",O16&gt;0),"Overdue","Open")))</f>
        <v/>
      </c>
      <c r="Q16" s="59"/>
    </row>
    <row r="17" customFormat="false" ht="15" hidden="false" customHeight="false" outlineLevel="0" collapsed="false">
      <c r="A17" s="54" t="str">
        <f aca="false">IF(B17="","",ROW()-6)</f>
        <v/>
      </c>
      <c r="B17" s="5"/>
      <c r="C17" s="5"/>
      <c r="D17" s="55"/>
      <c r="E17" s="55"/>
      <c r="F17" s="56"/>
      <c r="G17" s="56"/>
      <c r="H17" s="56"/>
      <c r="I17" s="56"/>
      <c r="J17" s="56"/>
      <c r="K17" s="56"/>
      <c r="L17" s="57" t="str">
        <f aca="false">IF(B17="","",SUM(G17:K17))</f>
        <v/>
      </c>
      <c r="M17" s="36" t="str">
        <f aca="false">IF(B17="","",F17-L17)</f>
        <v/>
      </c>
      <c r="N17" s="40" t="str">
        <f aca="false">IF(OR(B17="",F17=0),"",L17/F17)</f>
        <v/>
      </c>
      <c r="O17" s="54" t="str">
        <f aca="false">IF(OR(B17="",E17="",M17&lt;=0),"",MAX(0,Dashboard!$C$8-E17))</f>
        <v/>
      </c>
      <c r="P17" s="12" t="str">
        <f aca="false">IF(B17="","",IF(M17&lt;=0,"Collected",IF(AND(O17&lt;&gt;"",O17&gt;0),"Overdue","Open")))</f>
        <v/>
      </c>
      <c r="Q17" s="5"/>
    </row>
    <row r="18" customFormat="false" ht="15" hidden="false" customHeight="false" outlineLevel="0" collapsed="false">
      <c r="A18" s="58" t="str">
        <f aca="false">IF(B18="","",ROW()-6)</f>
        <v/>
      </c>
      <c r="B18" s="59"/>
      <c r="C18" s="59"/>
      <c r="D18" s="60"/>
      <c r="E18" s="60"/>
      <c r="F18" s="61"/>
      <c r="G18" s="61"/>
      <c r="H18" s="61"/>
      <c r="I18" s="61"/>
      <c r="J18" s="61"/>
      <c r="K18" s="61"/>
      <c r="L18" s="62" t="str">
        <f aca="false">IF(B18="","",SUM(G18:K18))</f>
        <v/>
      </c>
      <c r="M18" s="63" t="str">
        <f aca="false">IF(B18="","",F18-L18)</f>
        <v/>
      </c>
      <c r="N18" s="64" t="str">
        <f aca="false">IF(OR(B18="",F18=0),"",L18/F18)</f>
        <v/>
      </c>
      <c r="O18" s="58" t="str">
        <f aca="false">IF(OR(B18="",E18="",M18&lt;=0),"",MAX(0,Dashboard!$C$8-E18))</f>
        <v/>
      </c>
      <c r="P18" s="65" t="str">
        <f aca="false">IF(B18="","",IF(M18&lt;=0,"Collected",IF(AND(O18&lt;&gt;"",O18&gt;0),"Overdue","Open")))</f>
        <v/>
      </c>
      <c r="Q18" s="59"/>
    </row>
    <row r="19" customFormat="false" ht="15" hidden="false" customHeight="false" outlineLevel="0" collapsed="false">
      <c r="A19" s="54" t="str">
        <f aca="false">IF(B19="","",ROW()-6)</f>
        <v/>
      </c>
      <c r="B19" s="5"/>
      <c r="C19" s="5"/>
      <c r="D19" s="55"/>
      <c r="E19" s="55"/>
      <c r="F19" s="56"/>
      <c r="G19" s="56"/>
      <c r="H19" s="56"/>
      <c r="I19" s="56"/>
      <c r="J19" s="56"/>
      <c r="K19" s="56"/>
      <c r="L19" s="57" t="str">
        <f aca="false">IF(B19="","",SUM(G19:K19))</f>
        <v/>
      </c>
      <c r="M19" s="36" t="str">
        <f aca="false">IF(B19="","",F19-L19)</f>
        <v/>
      </c>
      <c r="N19" s="40" t="str">
        <f aca="false">IF(OR(B19="",F19=0),"",L19/F19)</f>
        <v/>
      </c>
      <c r="O19" s="54" t="str">
        <f aca="false">IF(OR(B19="",E19="",M19&lt;=0),"",MAX(0,Dashboard!$C$8-E19))</f>
        <v/>
      </c>
      <c r="P19" s="12" t="str">
        <f aca="false">IF(B19="","",IF(M19&lt;=0,"Collected",IF(AND(O19&lt;&gt;"",O19&gt;0),"Overdue","Open")))</f>
        <v/>
      </c>
      <c r="Q19" s="5"/>
    </row>
    <row r="20" customFormat="false" ht="15" hidden="false" customHeight="false" outlineLevel="0" collapsed="false">
      <c r="A20" s="58" t="str">
        <f aca="false">IF(B20="","",ROW()-6)</f>
        <v/>
      </c>
      <c r="B20" s="59"/>
      <c r="C20" s="59"/>
      <c r="D20" s="60"/>
      <c r="E20" s="60"/>
      <c r="F20" s="61"/>
      <c r="G20" s="61"/>
      <c r="H20" s="61"/>
      <c r="I20" s="61"/>
      <c r="J20" s="61"/>
      <c r="K20" s="61"/>
      <c r="L20" s="62" t="str">
        <f aca="false">IF(B20="","",SUM(G20:K20))</f>
        <v/>
      </c>
      <c r="M20" s="63" t="str">
        <f aca="false">IF(B20="","",F20-L20)</f>
        <v/>
      </c>
      <c r="N20" s="64" t="str">
        <f aca="false">IF(OR(B20="",F20=0),"",L20/F20)</f>
        <v/>
      </c>
      <c r="O20" s="58" t="str">
        <f aca="false">IF(OR(B20="",E20="",M20&lt;=0),"",MAX(0,Dashboard!$C$8-E20))</f>
        <v/>
      </c>
      <c r="P20" s="65" t="str">
        <f aca="false">IF(B20="","",IF(M20&lt;=0,"Collected",IF(AND(O20&lt;&gt;"",O20&gt;0),"Overdue","Open")))</f>
        <v/>
      </c>
      <c r="Q20" s="59"/>
    </row>
    <row r="21" customFormat="false" ht="15" hidden="false" customHeight="false" outlineLevel="0" collapsed="false">
      <c r="A21" s="54" t="str">
        <f aca="false">IF(B21="","",ROW()-6)</f>
        <v/>
      </c>
      <c r="B21" s="5"/>
      <c r="C21" s="5"/>
      <c r="D21" s="55"/>
      <c r="E21" s="55"/>
      <c r="F21" s="56"/>
      <c r="G21" s="56"/>
      <c r="H21" s="56"/>
      <c r="I21" s="56"/>
      <c r="J21" s="56"/>
      <c r="K21" s="56"/>
      <c r="L21" s="57" t="str">
        <f aca="false">IF(B21="","",SUM(G21:K21))</f>
        <v/>
      </c>
      <c r="M21" s="36" t="str">
        <f aca="false">IF(B21="","",F21-L21)</f>
        <v/>
      </c>
      <c r="N21" s="40" t="str">
        <f aca="false">IF(OR(B21="",F21=0),"",L21/F21)</f>
        <v/>
      </c>
      <c r="O21" s="54" t="str">
        <f aca="false">IF(OR(B21="",E21="",M21&lt;=0),"",MAX(0,Dashboard!$C$8-E21))</f>
        <v/>
      </c>
      <c r="P21" s="12" t="str">
        <f aca="false">IF(B21="","",IF(M21&lt;=0,"Collected",IF(AND(O21&lt;&gt;"",O21&gt;0),"Overdue","Open")))</f>
        <v/>
      </c>
      <c r="Q21" s="5"/>
    </row>
    <row r="22" customFormat="false" ht="15" hidden="false" customHeight="false" outlineLevel="0" collapsed="false">
      <c r="A22" s="58" t="str">
        <f aca="false">IF(B22="","",ROW()-6)</f>
        <v/>
      </c>
      <c r="B22" s="59"/>
      <c r="C22" s="59"/>
      <c r="D22" s="60"/>
      <c r="E22" s="60"/>
      <c r="F22" s="61"/>
      <c r="G22" s="61"/>
      <c r="H22" s="61"/>
      <c r="I22" s="61"/>
      <c r="J22" s="61"/>
      <c r="K22" s="61"/>
      <c r="L22" s="62" t="str">
        <f aca="false">IF(B22="","",SUM(G22:K22))</f>
        <v/>
      </c>
      <c r="M22" s="63" t="str">
        <f aca="false">IF(B22="","",F22-L22)</f>
        <v/>
      </c>
      <c r="N22" s="64" t="str">
        <f aca="false">IF(OR(B22="",F22=0),"",L22/F22)</f>
        <v/>
      </c>
      <c r="O22" s="58" t="str">
        <f aca="false">IF(OR(B22="",E22="",M22&lt;=0),"",MAX(0,Dashboard!$C$8-E22))</f>
        <v/>
      </c>
      <c r="P22" s="65" t="str">
        <f aca="false">IF(B22="","",IF(M22&lt;=0,"Collected",IF(AND(O22&lt;&gt;"",O22&gt;0),"Overdue","Open")))</f>
        <v/>
      </c>
      <c r="Q22" s="59"/>
    </row>
    <row r="23" customFormat="false" ht="15" hidden="false" customHeight="false" outlineLevel="0" collapsed="false">
      <c r="A23" s="54" t="str">
        <f aca="false">IF(B23="","",ROW()-6)</f>
        <v/>
      </c>
      <c r="B23" s="5"/>
      <c r="C23" s="5"/>
      <c r="D23" s="55"/>
      <c r="E23" s="55"/>
      <c r="F23" s="56"/>
      <c r="G23" s="56"/>
      <c r="H23" s="56"/>
      <c r="I23" s="56"/>
      <c r="J23" s="56"/>
      <c r="K23" s="56"/>
      <c r="L23" s="57" t="str">
        <f aca="false">IF(B23="","",SUM(G23:K23))</f>
        <v/>
      </c>
      <c r="M23" s="36" t="str">
        <f aca="false">IF(B23="","",F23-L23)</f>
        <v/>
      </c>
      <c r="N23" s="40" t="str">
        <f aca="false">IF(OR(B23="",F23=0),"",L23/F23)</f>
        <v/>
      </c>
      <c r="O23" s="54" t="str">
        <f aca="false">IF(OR(B23="",E23="",M23&lt;=0),"",MAX(0,Dashboard!$C$8-E23))</f>
        <v/>
      </c>
      <c r="P23" s="12" t="str">
        <f aca="false">IF(B23="","",IF(M23&lt;=0,"Collected",IF(AND(O23&lt;&gt;"",O23&gt;0),"Overdue","Open")))</f>
        <v/>
      </c>
      <c r="Q23" s="5"/>
    </row>
    <row r="24" customFormat="false" ht="15" hidden="false" customHeight="false" outlineLevel="0" collapsed="false">
      <c r="A24" s="58" t="str">
        <f aca="false">IF(B24="","",ROW()-6)</f>
        <v/>
      </c>
      <c r="B24" s="59"/>
      <c r="C24" s="59"/>
      <c r="D24" s="60"/>
      <c r="E24" s="60"/>
      <c r="F24" s="61"/>
      <c r="G24" s="61"/>
      <c r="H24" s="61"/>
      <c r="I24" s="61"/>
      <c r="J24" s="61"/>
      <c r="K24" s="61"/>
      <c r="L24" s="62" t="str">
        <f aca="false">IF(B24="","",SUM(G24:K24))</f>
        <v/>
      </c>
      <c r="M24" s="63" t="str">
        <f aca="false">IF(B24="","",F24-L24)</f>
        <v/>
      </c>
      <c r="N24" s="64" t="str">
        <f aca="false">IF(OR(B24="",F24=0),"",L24/F24)</f>
        <v/>
      </c>
      <c r="O24" s="58" t="str">
        <f aca="false">IF(OR(B24="",E24="",M24&lt;=0),"",MAX(0,Dashboard!$C$8-E24))</f>
        <v/>
      </c>
      <c r="P24" s="65" t="str">
        <f aca="false">IF(B24="","",IF(M24&lt;=0,"Collected",IF(AND(O24&lt;&gt;"",O24&gt;0),"Overdue","Open")))</f>
        <v/>
      </c>
      <c r="Q24" s="59"/>
    </row>
    <row r="25" customFormat="false" ht="15" hidden="false" customHeight="false" outlineLevel="0" collapsed="false">
      <c r="A25" s="54" t="str">
        <f aca="false">IF(B25="","",ROW()-6)</f>
        <v/>
      </c>
      <c r="B25" s="5"/>
      <c r="C25" s="5"/>
      <c r="D25" s="55"/>
      <c r="E25" s="55"/>
      <c r="F25" s="56"/>
      <c r="G25" s="56"/>
      <c r="H25" s="56"/>
      <c r="I25" s="56"/>
      <c r="J25" s="56"/>
      <c r="K25" s="56"/>
      <c r="L25" s="57" t="str">
        <f aca="false">IF(B25="","",SUM(G25:K25))</f>
        <v/>
      </c>
      <c r="M25" s="36" t="str">
        <f aca="false">IF(B25="","",F25-L25)</f>
        <v/>
      </c>
      <c r="N25" s="40" t="str">
        <f aca="false">IF(OR(B25="",F25=0),"",L25/F25)</f>
        <v/>
      </c>
      <c r="O25" s="54" t="str">
        <f aca="false">IF(OR(B25="",E25="",M25&lt;=0),"",MAX(0,Dashboard!$C$8-E25))</f>
        <v/>
      </c>
      <c r="P25" s="12" t="str">
        <f aca="false">IF(B25="","",IF(M25&lt;=0,"Collected",IF(AND(O25&lt;&gt;"",O25&gt;0),"Overdue","Open")))</f>
        <v/>
      </c>
      <c r="Q25" s="5"/>
    </row>
    <row r="26" customFormat="false" ht="15" hidden="false" customHeight="false" outlineLevel="0" collapsed="false">
      <c r="A26" s="58" t="str">
        <f aca="false">IF(B26="","",ROW()-6)</f>
        <v/>
      </c>
      <c r="B26" s="59"/>
      <c r="C26" s="59"/>
      <c r="D26" s="60"/>
      <c r="E26" s="60"/>
      <c r="F26" s="61"/>
      <c r="G26" s="61"/>
      <c r="H26" s="61"/>
      <c r="I26" s="61"/>
      <c r="J26" s="61"/>
      <c r="K26" s="61"/>
      <c r="L26" s="62" t="str">
        <f aca="false">IF(B26="","",SUM(G26:K26))</f>
        <v/>
      </c>
      <c r="M26" s="63" t="str">
        <f aca="false">IF(B26="","",F26-L26)</f>
        <v/>
      </c>
      <c r="N26" s="64" t="str">
        <f aca="false">IF(OR(B26="",F26=0),"",L26/F26)</f>
        <v/>
      </c>
      <c r="O26" s="58" t="str">
        <f aca="false">IF(OR(B26="",E26="",M26&lt;=0),"",MAX(0,Dashboard!$C$8-E26))</f>
        <v/>
      </c>
      <c r="P26" s="65" t="str">
        <f aca="false">IF(B26="","",IF(M26&lt;=0,"Collected",IF(AND(O26&lt;&gt;"",O26&gt;0),"Overdue","Open")))</f>
        <v/>
      </c>
      <c r="Q26" s="59"/>
    </row>
    <row r="27" customFormat="false" ht="15" hidden="false" customHeight="false" outlineLevel="0" collapsed="false">
      <c r="A27" s="54" t="str">
        <f aca="false">IF(B27="","",ROW()-6)</f>
        <v/>
      </c>
      <c r="B27" s="5"/>
      <c r="C27" s="5"/>
      <c r="D27" s="55"/>
      <c r="E27" s="55"/>
      <c r="F27" s="56"/>
      <c r="G27" s="56"/>
      <c r="H27" s="56"/>
      <c r="I27" s="56"/>
      <c r="J27" s="56"/>
      <c r="K27" s="56"/>
      <c r="L27" s="57" t="str">
        <f aca="false">IF(B27="","",SUM(G27:K27))</f>
        <v/>
      </c>
      <c r="M27" s="36" t="str">
        <f aca="false">IF(B27="","",F27-L27)</f>
        <v/>
      </c>
      <c r="N27" s="40" t="str">
        <f aca="false">IF(OR(B27="",F27=0),"",L27/F27)</f>
        <v/>
      </c>
      <c r="O27" s="54" t="str">
        <f aca="false">IF(OR(B27="",E27="",M27&lt;=0),"",MAX(0,Dashboard!$C$8-E27))</f>
        <v/>
      </c>
      <c r="P27" s="12" t="str">
        <f aca="false">IF(B27="","",IF(M27&lt;=0,"Collected",IF(AND(O27&lt;&gt;"",O27&gt;0),"Overdue","Open")))</f>
        <v/>
      </c>
      <c r="Q27" s="5"/>
    </row>
    <row r="28" customFormat="false" ht="15" hidden="false" customHeight="false" outlineLevel="0" collapsed="false">
      <c r="A28" s="58" t="str">
        <f aca="false">IF(B28="","",ROW()-6)</f>
        <v/>
      </c>
      <c r="B28" s="59"/>
      <c r="C28" s="59"/>
      <c r="D28" s="60"/>
      <c r="E28" s="60"/>
      <c r="F28" s="61"/>
      <c r="G28" s="61"/>
      <c r="H28" s="61"/>
      <c r="I28" s="61"/>
      <c r="J28" s="61"/>
      <c r="K28" s="61"/>
      <c r="L28" s="62" t="str">
        <f aca="false">IF(B28="","",SUM(G28:K28))</f>
        <v/>
      </c>
      <c r="M28" s="63" t="str">
        <f aca="false">IF(B28="","",F28-L28)</f>
        <v/>
      </c>
      <c r="N28" s="64" t="str">
        <f aca="false">IF(OR(B28="",F28=0),"",L28/F28)</f>
        <v/>
      </c>
      <c r="O28" s="58" t="str">
        <f aca="false">IF(OR(B28="",E28="",M28&lt;=0),"",MAX(0,Dashboard!$C$8-E28))</f>
        <v/>
      </c>
      <c r="P28" s="65" t="str">
        <f aca="false">IF(B28="","",IF(M28&lt;=0,"Collected",IF(AND(O28&lt;&gt;"",O28&gt;0),"Overdue","Open")))</f>
        <v/>
      </c>
      <c r="Q28" s="59"/>
    </row>
    <row r="29" customFormat="false" ht="15" hidden="false" customHeight="false" outlineLevel="0" collapsed="false">
      <c r="A29" s="54" t="str">
        <f aca="false">IF(B29="","",ROW()-6)</f>
        <v/>
      </c>
      <c r="B29" s="5"/>
      <c r="C29" s="5"/>
      <c r="D29" s="55"/>
      <c r="E29" s="55"/>
      <c r="F29" s="56"/>
      <c r="G29" s="56"/>
      <c r="H29" s="56"/>
      <c r="I29" s="56"/>
      <c r="J29" s="56"/>
      <c r="K29" s="56"/>
      <c r="L29" s="57" t="str">
        <f aca="false">IF(B29="","",SUM(G29:K29))</f>
        <v/>
      </c>
      <c r="M29" s="36" t="str">
        <f aca="false">IF(B29="","",F29-L29)</f>
        <v/>
      </c>
      <c r="N29" s="40" t="str">
        <f aca="false">IF(OR(B29="",F29=0),"",L29/F29)</f>
        <v/>
      </c>
      <c r="O29" s="54" t="str">
        <f aca="false">IF(OR(B29="",E29="",M29&lt;=0),"",MAX(0,Dashboard!$C$8-E29))</f>
        <v/>
      </c>
      <c r="P29" s="12" t="str">
        <f aca="false">IF(B29="","",IF(M29&lt;=0,"Collected",IF(AND(O29&lt;&gt;"",O29&gt;0),"Overdue","Open")))</f>
        <v/>
      </c>
      <c r="Q29" s="5"/>
    </row>
    <row r="30" customFormat="false" ht="15" hidden="false" customHeight="false" outlineLevel="0" collapsed="false">
      <c r="A30" s="58" t="str">
        <f aca="false">IF(B30="","",ROW()-6)</f>
        <v/>
      </c>
      <c r="B30" s="59"/>
      <c r="C30" s="59"/>
      <c r="D30" s="60"/>
      <c r="E30" s="60"/>
      <c r="F30" s="61"/>
      <c r="G30" s="61"/>
      <c r="H30" s="61"/>
      <c r="I30" s="61"/>
      <c r="J30" s="61"/>
      <c r="K30" s="61"/>
      <c r="L30" s="62" t="str">
        <f aca="false">IF(B30="","",SUM(G30:K30))</f>
        <v/>
      </c>
      <c r="M30" s="63" t="str">
        <f aca="false">IF(B30="","",F30-L30)</f>
        <v/>
      </c>
      <c r="N30" s="64" t="str">
        <f aca="false">IF(OR(B30="",F30=0),"",L30/F30)</f>
        <v/>
      </c>
      <c r="O30" s="58" t="str">
        <f aca="false">IF(OR(B30="",E30="",M30&lt;=0),"",MAX(0,Dashboard!$C$8-E30))</f>
        <v/>
      </c>
      <c r="P30" s="65" t="str">
        <f aca="false">IF(B30="","",IF(M30&lt;=0,"Collected",IF(AND(O30&lt;&gt;"",O30&gt;0),"Overdue","Open")))</f>
        <v/>
      </c>
      <c r="Q30" s="59"/>
    </row>
    <row r="31" customFormat="false" ht="15" hidden="false" customHeight="false" outlineLevel="0" collapsed="false">
      <c r="A31" s="54" t="str">
        <f aca="false">IF(B31="","",ROW()-6)</f>
        <v/>
      </c>
      <c r="B31" s="5"/>
      <c r="C31" s="5"/>
      <c r="D31" s="55"/>
      <c r="E31" s="55"/>
      <c r="F31" s="56"/>
      <c r="G31" s="56"/>
      <c r="H31" s="56"/>
      <c r="I31" s="56"/>
      <c r="J31" s="56"/>
      <c r="K31" s="56"/>
      <c r="L31" s="57" t="str">
        <f aca="false">IF(B31="","",SUM(G31:K31))</f>
        <v/>
      </c>
      <c r="M31" s="36" t="str">
        <f aca="false">IF(B31="","",F31-L31)</f>
        <v/>
      </c>
      <c r="N31" s="40" t="str">
        <f aca="false">IF(OR(B31="",F31=0),"",L31/F31)</f>
        <v/>
      </c>
      <c r="O31" s="54" t="str">
        <f aca="false">IF(OR(B31="",E31="",M31&lt;=0),"",MAX(0,Dashboard!$C$8-E31))</f>
        <v/>
      </c>
      <c r="P31" s="12" t="str">
        <f aca="false">IF(B31="","",IF(M31&lt;=0,"Collected",IF(AND(O31&lt;&gt;"",O31&gt;0),"Overdue","Open")))</f>
        <v/>
      </c>
      <c r="Q31" s="5"/>
    </row>
    <row r="32" customFormat="false" ht="15" hidden="false" customHeight="false" outlineLevel="0" collapsed="false">
      <c r="A32" s="58" t="str">
        <f aca="false">IF(B32="","",ROW()-6)</f>
        <v/>
      </c>
      <c r="B32" s="59"/>
      <c r="C32" s="59"/>
      <c r="D32" s="60"/>
      <c r="E32" s="60"/>
      <c r="F32" s="61"/>
      <c r="G32" s="61"/>
      <c r="H32" s="61"/>
      <c r="I32" s="61"/>
      <c r="J32" s="61"/>
      <c r="K32" s="61"/>
      <c r="L32" s="62" t="str">
        <f aca="false">IF(B32="","",SUM(G32:K32))</f>
        <v/>
      </c>
      <c r="M32" s="63" t="str">
        <f aca="false">IF(B32="","",F32-L32)</f>
        <v/>
      </c>
      <c r="N32" s="64" t="str">
        <f aca="false">IF(OR(B32="",F32=0),"",L32/F32)</f>
        <v/>
      </c>
      <c r="O32" s="58" t="str">
        <f aca="false">IF(OR(B32="",E32="",M32&lt;=0),"",MAX(0,Dashboard!$C$8-E32))</f>
        <v/>
      </c>
      <c r="P32" s="65" t="str">
        <f aca="false">IF(B32="","",IF(M32&lt;=0,"Collected",IF(AND(O32&lt;&gt;"",O32&gt;0),"Overdue","Open")))</f>
        <v/>
      </c>
      <c r="Q32" s="59"/>
    </row>
    <row r="33" customFormat="false" ht="15" hidden="false" customHeight="false" outlineLevel="0" collapsed="false">
      <c r="A33" s="54" t="str">
        <f aca="false">IF(B33="","",ROW()-6)</f>
        <v/>
      </c>
      <c r="B33" s="5"/>
      <c r="C33" s="5"/>
      <c r="D33" s="55"/>
      <c r="E33" s="55"/>
      <c r="F33" s="56"/>
      <c r="G33" s="56"/>
      <c r="H33" s="56"/>
      <c r="I33" s="56"/>
      <c r="J33" s="56"/>
      <c r="K33" s="56"/>
      <c r="L33" s="57" t="str">
        <f aca="false">IF(B33="","",SUM(G33:K33))</f>
        <v/>
      </c>
      <c r="M33" s="36" t="str">
        <f aca="false">IF(B33="","",F33-L33)</f>
        <v/>
      </c>
      <c r="N33" s="40" t="str">
        <f aca="false">IF(OR(B33="",F33=0),"",L33/F33)</f>
        <v/>
      </c>
      <c r="O33" s="54" t="str">
        <f aca="false">IF(OR(B33="",E33="",M33&lt;=0),"",MAX(0,Dashboard!$C$8-E33))</f>
        <v/>
      </c>
      <c r="P33" s="12" t="str">
        <f aca="false">IF(B33="","",IF(M33&lt;=0,"Collected",IF(AND(O33&lt;&gt;"",O33&gt;0),"Overdue","Open")))</f>
        <v/>
      </c>
      <c r="Q33" s="5"/>
    </row>
    <row r="34" customFormat="false" ht="15" hidden="false" customHeight="false" outlineLevel="0" collapsed="false">
      <c r="A34" s="58" t="str">
        <f aca="false">IF(B34="","",ROW()-6)</f>
        <v/>
      </c>
      <c r="B34" s="59"/>
      <c r="C34" s="59"/>
      <c r="D34" s="60"/>
      <c r="E34" s="60"/>
      <c r="F34" s="61"/>
      <c r="G34" s="61"/>
      <c r="H34" s="61"/>
      <c r="I34" s="61"/>
      <c r="J34" s="61"/>
      <c r="K34" s="61"/>
      <c r="L34" s="62" t="str">
        <f aca="false">IF(B34="","",SUM(G34:K34))</f>
        <v/>
      </c>
      <c r="M34" s="63" t="str">
        <f aca="false">IF(B34="","",F34-L34)</f>
        <v/>
      </c>
      <c r="N34" s="64" t="str">
        <f aca="false">IF(OR(B34="",F34=0),"",L34/F34)</f>
        <v/>
      </c>
      <c r="O34" s="58" t="str">
        <f aca="false">IF(OR(B34="",E34="",M34&lt;=0),"",MAX(0,Dashboard!$C$8-E34))</f>
        <v/>
      </c>
      <c r="P34" s="65" t="str">
        <f aca="false">IF(B34="","",IF(M34&lt;=0,"Collected",IF(AND(O34&lt;&gt;"",O34&gt;0),"Overdue","Open")))</f>
        <v/>
      </c>
      <c r="Q34" s="59"/>
    </row>
    <row r="35" customFormat="false" ht="15" hidden="false" customHeight="false" outlineLevel="0" collapsed="false">
      <c r="A35" s="54" t="str">
        <f aca="false">IF(B35="","",ROW()-6)</f>
        <v/>
      </c>
      <c r="B35" s="5"/>
      <c r="C35" s="5"/>
      <c r="D35" s="55"/>
      <c r="E35" s="55"/>
      <c r="F35" s="56"/>
      <c r="G35" s="56"/>
      <c r="H35" s="56"/>
      <c r="I35" s="56"/>
      <c r="J35" s="56"/>
      <c r="K35" s="56"/>
      <c r="L35" s="57" t="str">
        <f aca="false">IF(B35="","",SUM(G35:K35))</f>
        <v/>
      </c>
      <c r="M35" s="36" t="str">
        <f aca="false">IF(B35="","",F35-L35)</f>
        <v/>
      </c>
      <c r="N35" s="40" t="str">
        <f aca="false">IF(OR(B35="",F35=0),"",L35/F35)</f>
        <v/>
      </c>
      <c r="O35" s="54" t="str">
        <f aca="false">IF(OR(B35="",E35="",M35&lt;=0),"",MAX(0,Dashboard!$C$8-E35))</f>
        <v/>
      </c>
      <c r="P35" s="12" t="str">
        <f aca="false">IF(B35="","",IF(M35&lt;=0,"Collected",IF(AND(O35&lt;&gt;"",O35&gt;0),"Overdue","Open")))</f>
        <v/>
      </c>
      <c r="Q35" s="5"/>
    </row>
    <row r="36" customFormat="false" ht="15" hidden="false" customHeight="false" outlineLevel="0" collapsed="false">
      <c r="A36" s="58" t="str">
        <f aca="false">IF(B36="","",ROW()-6)</f>
        <v/>
      </c>
      <c r="B36" s="59"/>
      <c r="C36" s="59"/>
      <c r="D36" s="60"/>
      <c r="E36" s="60"/>
      <c r="F36" s="61"/>
      <c r="G36" s="61"/>
      <c r="H36" s="61"/>
      <c r="I36" s="61"/>
      <c r="J36" s="61"/>
      <c r="K36" s="61"/>
      <c r="L36" s="62" t="str">
        <f aca="false">IF(B36="","",SUM(G36:K36))</f>
        <v/>
      </c>
      <c r="M36" s="63" t="str">
        <f aca="false">IF(B36="","",F36-L36)</f>
        <v/>
      </c>
      <c r="N36" s="64" t="str">
        <f aca="false">IF(OR(B36="",F36=0),"",L36/F36)</f>
        <v/>
      </c>
      <c r="O36" s="58" t="str">
        <f aca="false">IF(OR(B36="",E36="",M36&lt;=0),"",MAX(0,Dashboard!$C$8-E36))</f>
        <v/>
      </c>
      <c r="P36" s="65" t="str">
        <f aca="false">IF(B36="","",IF(M36&lt;=0,"Collected",IF(AND(O36&lt;&gt;"",O36&gt;0),"Overdue","Open")))</f>
        <v/>
      </c>
      <c r="Q36" s="59"/>
    </row>
    <row r="37" customFormat="false" ht="15" hidden="false" customHeight="false" outlineLevel="0" collapsed="false">
      <c r="A37" s="54" t="str">
        <f aca="false">IF(B37="","",ROW()-6)</f>
        <v/>
      </c>
      <c r="B37" s="5"/>
      <c r="C37" s="5"/>
      <c r="D37" s="55"/>
      <c r="E37" s="55"/>
      <c r="F37" s="56"/>
      <c r="G37" s="56"/>
      <c r="H37" s="56"/>
      <c r="I37" s="56"/>
      <c r="J37" s="56"/>
      <c r="K37" s="56"/>
      <c r="L37" s="57" t="str">
        <f aca="false">IF(B37="","",SUM(G37:K37))</f>
        <v/>
      </c>
      <c r="M37" s="36" t="str">
        <f aca="false">IF(B37="","",F37-L37)</f>
        <v/>
      </c>
      <c r="N37" s="40" t="str">
        <f aca="false">IF(OR(B37="",F37=0),"",L37/F37)</f>
        <v/>
      </c>
      <c r="O37" s="54" t="str">
        <f aca="false">IF(OR(B37="",E37="",M37&lt;=0),"",MAX(0,Dashboard!$C$8-E37))</f>
        <v/>
      </c>
      <c r="P37" s="12" t="str">
        <f aca="false">IF(B37="","",IF(M37&lt;=0,"Collected",IF(AND(O37&lt;&gt;"",O37&gt;0),"Overdue","Open")))</f>
        <v/>
      </c>
      <c r="Q37" s="5"/>
    </row>
    <row r="38" customFormat="false" ht="15" hidden="false" customHeight="false" outlineLevel="0" collapsed="false">
      <c r="A38" s="58" t="str">
        <f aca="false">IF(B38="","",ROW()-6)</f>
        <v/>
      </c>
      <c r="B38" s="59"/>
      <c r="C38" s="59"/>
      <c r="D38" s="60"/>
      <c r="E38" s="60"/>
      <c r="F38" s="61"/>
      <c r="G38" s="61"/>
      <c r="H38" s="61"/>
      <c r="I38" s="61"/>
      <c r="J38" s="61"/>
      <c r="K38" s="61"/>
      <c r="L38" s="62" t="str">
        <f aca="false">IF(B38="","",SUM(G38:K38))</f>
        <v/>
      </c>
      <c r="M38" s="63" t="str">
        <f aca="false">IF(B38="","",F38-L38)</f>
        <v/>
      </c>
      <c r="N38" s="64" t="str">
        <f aca="false">IF(OR(B38="",F38=0),"",L38/F38)</f>
        <v/>
      </c>
      <c r="O38" s="58" t="str">
        <f aca="false">IF(OR(B38="",E38="",M38&lt;=0),"",MAX(0,Dashboard!$C$8-E38))</f>
        <v/>
      </c>
      <c r="P38" s="65" t="str">
        <f aca="false">IF(B38="","",IF(M38&lt;=0,"Collected",IF(AND(O38&lt;&gt;"",O38&gt;0),"Overdue","Open")))</f>
        <v/>
      </c>
      <c r="Q38" s="59"/>
    </row>
    <row r="39" customFormat="false" ht="15" hidden="false" customHeight="false" outlineLevel="0" collapsed="false">
      <c r="A39" s="54" t="str">
        <f aca="false">IF(B39="","",ROW()-6)</f>
        <v/>
      </c>
      <c r="B39" s="5"/>
      <c r="C39" s="5"/>
      <c r="D39" s="55"/>
      <c r="E39" s="55"/>
      <c r="F39" s="56"/>
      <c r="G39" s="56"/>
      <c r="H39" s="56"/>
      <c r="I39" s="56"/>
      <c r="J39" s="56"/>
      <c r="K39" s="56"/>
      <c r="L39" s="57" t="str">
        <f aca="false">IF(B39="","",SUM(G39:K39))</f>
        <v/>
      </c>
      <c r="M39" s="36" t="str">
        <f aca="false">IF(B39="","",F39-L39)</f>
        <v/>
      </c>
      <c r="N39" s="40" t="str">
        <f aca="false">IF(OR(B39="",F39=0),"",L39/F39)</f>
        <v/>
      </c>
      <c r="O39" s="54" t="str">
        <f aca="false">IF(OR(B39="",E39="",M39&lt;=0),"",MAX(0,Dashboard!$C$8-E39))</f>
        <v/>
      </c>
      <c r="P39" s="12" t="str">
        <f aca="false">IF(B39="","",IF(M39&lt;=0,"Collected",IF(AND(O39&lt;&gt;"",O39&gt;0),"Overdue","Open")))</f>
        <v/>
      </c>
      <c r="Q39" s="5"/>
    </row>
    <row r="40" customFormat="false" ht="15" hidden="false" customHeight="false" outlineLevel="0" collapsed="false">
      <c r="A40" s="58" t="str">
        <f aca="false">IF(B40="","",ROW()-6)</f>
        <v/>
      </c>
      <c r="B40" s="59"/>
      <c r="C40" s="59"/>
      <c r="D40" s="60"/>
      <c r="E40" s="60"/>
      <c r="F40" s="61"/>
      <c r="G40" s="61"/>
      <c r="H40" s="61"/>
      <c r="I40" s="61"/>
      <c r="J40" s="61"/>
      <c r="K40" s="61"/>
      <c r="L40" s="62" t="str">
        <f aca="false">IF(B40="","",SUM(G40:K40))</f>
        <v/>
      </c>
      <c r="M40" s="63" t="str">
        <f aca="false">IF(B40="","",F40-L40)</f>
        <v/>
      </c>
      <c r="N40" s="64" t="str">
        <f aca="false">IF(OR(B40="",F40=0),"",L40/F40)</f>
        <v/>
      </c>
      <c r="O40" s="58" t="str">
        <f aca="false">IF(OR(B40="",E40="",M40&lt;=0),"",MAX(0,Dashboard!$C$8-E40))</f>
        <v/>
      </c>
      <c r="P40" s="65" t="str">
        <f aca="false">IF(B40="","",IF(M40&lt;=0,"Collected",IF(AND(O40&lt;&gt;"",O40&gt;0),"Overdue","Open")))</f>
        <v/>
      </c>
      <c r="Q40" s="59"/>
    </row>
    <row r="41" customFormat="false" ht="15" hidden="false" customHeight="false" outlineLevel="0" collapsed="false">
      <c r="A41" s="54" t="str">
        <f aca="false">IF(B41="","",ROW()-6)</f>
        <v/>
      </c>
      <c r="B41" s="5"/>
      <c r="C41" s="5"/>
      <c r="D41" s="55"/>
      <c r="E41" s="55"/>
      <c r="F41" s="56"/>
      <c r="G41" s="56"/>
      <c r="H41" s="56"/>
      <c r="I41" s="56"/>
      <c r="J41" s="56"/>
      <c r="K41" s="56"/>
      <c r="L41" s="57" t="str">
        <f aca="false">IF(B41="","",SUM(G41:K41))</f>
        <v/>
      </c>
      <c r="M41" s="36" t="str">
        <f aca="false">IF(B41="","",F41-L41)</f>
        <v/>
      </c>
      <c r="N41" s="40" t="str">
        <f aca="false">IF(OR(B41="",F41=0),"",L41/F41)</f>
        <v/>
      </c>
      <c r="O41" s="54" t="str">
        <f aca="false">IF(OR(B41="",E41="",M41&lt;=0),"",MAX(0,Dashboard!$C$8-E41))</f>
        <v/>
      </c>
      <c r="P41" s="12" t="str">
        <f aca="false">IF(B41="","",IF(M41&lt;=0,"Collected",IF(AND(O41&lt;&gt;"",O41&gt;0),"Overdue","Open")))</f>
        <v/>
      </c>
      <c r="Q41" s="5"/>
    </row>
    <row r="42" customFormat="false" ht="15" hidden="false" customHeight="false" outlineLevel="0" collapsed="false">
      <c r="A42" s="58" t="str">
        <f aca="false">IF(B42="","",ROW()-6)</f>
        <v/>
      </c>
      <c r="B42" s="59"/>
      <c r="C42" s="59"/>
      <c r="D42" s="60"/>
      <c r="E42" s="60"/>
      <c r="F42" s="61"/>
      <c r="G42" s="61"/>
      <c r="H42" s="61"/>
      <c r="I42" s="61"/>
      <c r="J42" s="61"/>
      <c r="K42" s="61"/>
      <c r="L42" s="62" t="str">
        <f aca="false">IF(B42="","",SUM(G42:K42))</f>
        <v/>
      </c>
      <c r="M42" s="63" t="str">
        <f aca="false">IF(B42="","",F42-L42)</f>
        <v/>
      </c>
      <c r="N42" s="64" t="str">
        <f aca="false">IF(OR(B42="",F42=0),"",L42/F42)</f>
        <v/>
      </c>
      <c r="O42" s="58" t="str">
        <f aca="false">IF(OR(B42="",E42="",M42&lt;=0),"",MAX(0,Dashboard!$C$8-E42))</f>
        <v/>
      </c>
      <c r="P42" s="65" t="str">
        <f aca="false">IF(B42="","",IF(M42&lt;=0,"Collected",IF(AND(O42&lt;&gt;"",O42&gt;0),"Overdue","Open")))</f>
        <v/>
      </c>
      <c r="Q42" s="59"/>
    </row>
    <row r="43" customFormat="false" ht="15" hidden="false" customHeight="false" outlineLevel="0" collapsed="false">
      <c r="A43" s="54" t="str">
        <f aca="false">IF(B43="","",ROW()-6)</f>
        <v/>
      </c>
      <c r="B43" s="5"/>
      <c r="C43" s="5"/>
      <c r="D43" s="55"/>
      <c r="E43" s="55"/>
      <c r="F43" s="56"/>
      <c r="G43" s="56"/>
      <c r="H43" s="56"/>
      <c r="I43" s="56"/>
      <c r="J43" s="56"/>
      <c r="K43" s="56"/>
      <c r="L43" s="57" t="str">
        <f aca="false">IF(B43="","",SUM(G43:K43))</f>
        <v/>
      </c>
      <c r="M43" s="36" t="str">
        <f aca="false">IF(B43="","",F43-L43)</f>
        <v/>
      </c>
      <c r="N43" s="40" t="str">
        <f aca="false">IF(OR(B43="",F43=0),"",L43/F43)</f>
        <v/>
      </c>
      <c r="O43" s="54" t="str">
        <f aca="false">IF(OR(B43="",E43="",M43&lt;=0),"",MAX(0,Dashboard!$C$8-E43))</f>
        <v/>
      </c>
      <c r="P43" s="12" t="str">
        <f aca="false">IF(B43="","",IF(M43&lt;=0,"Collected",IF(AND(O43&lt;&gt;"",O43&gt;0),"Overdue","Open")))</f>
        <v/>
      </c>
      <c r="Q43" s="5"/>
    </row>
    <row r="44" customFormat="false" ht="15" hidden="false" customHeight="false" outlineLevel="0" collapsed="false">
      <c r="A44" s="58" t="str">
        <f aca="false">IF(B44="","",ROW()-6)</f>
        <v/>
      </c>
      <c r="B44" s="59"/>
      <c r="C44" s="59"/>
      <c r="D44" s="60"/>
      <c r="E44" s="60"/>
      <c r="F44" s="61"/>
      <c r="G44" s="61"/>
      <c r="H44" s="61"/>
      <c r="I44" s="61"/>
      <c r="J44" s="61"/>
      <c r="K44" s="61"/>
      <c r="L44" s="62" t="str">
        <f aca="false">IF(B44="","",SUM(G44:K44))</f>
        <v/>
      </c>
      <c r="M44" s="63" t="str">
        <f aca="false">IF(B44="","",F44-L44)</f>
        <v/>
      </c>
      <c r="N44" s="64" t="str">
        <f aca="false">IF(OR(B44="",F44=0),"",L44/F44)</f>
        <v/>
      </c>
      <c r="O44" s="58" t="str">
        <f aca="false">IF(OR(B44="",E44="",M44&lt;=0),"",MAX(0,Dashboard!$C$8-E44))</f>
        <v/>
      </c>
      <c r="P44" s="65" t="str">
        <f aca="false">IF(B44="","",IF(M44&lt;=0,"Collected",IF(AND(O44&lt;&gt;"",O44&gt;0),"Overdue","Open")))</f>
        <v/>
      </c>
      <c r="Q44" s="59"/>
    </row>
    <row r="45" customFormat="false" ht="15" hidden="false" customHeight="false" outlineLevel="0" collapsed="false">
      <c r="A45" s="54" t="str">
        <f aca="false">IF(B45="","",ROW()-6)</f>
        <v/>
      </c>
      <c r="B45" s="5"/>
      <c r="C45" s="5"/>
      <c r="D45" s="55"/>
      <c r="E45" s="55"/>
      <c r="F45" s="56"/>
      <c r="G45" s="56"/>
      <c r="H45" s="56"/>
      <c r="I45" s="56"/>
      <c r="J45" s="56"/>
      <c r="K45" s="56"/>
      <c r="L45" s="57" t="str">
        <f aca="false">IF(B45="","",SUM(G45:K45))</f>
        <v/>
      </c>
      <c r="M45" s="36" t="str">
        <f aca="false">IF(B45="","",F45-L45)</f>
        <v/>
      </c>
      <c r="N45" s="40" t="str">
        <f aca="false">IF(OR(B45="",F45=0),"",L45/F45)</f>
        <v/>
      </c>
      <c r="O45" s="54" t="str">
        <f aca="false">IF(OR(B45="",E45="",M45&lt;=0),"",MAX(0,Dashboard!$C$8-E45))</f>
        <v/>
      </c>
      <c r="P45" s="12" t="str">
        <f aca="false">IF(B45="","",IF(M45&lt;=0,"Collected",IF(AND(O45&lt;&gt;"",O45&gt;0),"Overdue","Open")))</f>
        <v/>
      </c>
      <c r="Q45" s="5"/>
    </row>
    <row r="46" customFormat="false" ht="15" hidden="false" customHeight="false" outlineLevel="0" collapsed="false">
      <c r="A46" s="58" t="str">
        <f aca="false">IF(B46="","",ROW()-6)</f>
        <v/>
      </c>
      <c r="B46" s="59"/>
      <c r="C46" s="59"/>
      <c r="D46" s="60"/>
      <c r="E46" s="60"/>
      <c r="F46" s="61"/>
      <c r="G46" s="61"/>
      <c r="H46" s="61"/>
      <c r="I46" s="61"/>
      <c r="J46" s="61"/>
      <c r="K46" s="61"/>
      <c r="L46" s="62" t="str">
        <f aca="false">IF(B46="","",SUM(G46:K46))</f>
        <v/>
      </c>
      <c r="M46" s="63" t="str">
        <f aca="false">IF(B46="","",F46-L46)</f>
        <v/>
      </c>
      <c r="N46" s="64" t="str">
        <f aca="false">IF(OR(B46="",F46=0),"",L46/F46)</f>
        <v/>
      </c>
      <c r="O46" s="58" t="str">
        <f aca="false">IF(OR(B46="",E46="",M46&lt;=0),"",MAX(0,Dashboard!$C$8-E46))</f>
        <v/>
      </c>
      <c r="P46" s="65" t="str">
        <f aca="false">IF(B46="","",IF(M46&lt;=0,"Collected",IF(AND(O46&lt;&gt;"",O46&gt;0),"Overdue","Open")))</f>
        <v/>
      </c>
      <c r="Q46" s="59"/>
    </row>
    <row r="47" customFormat="false" ht="15" hidden="false" customHeight="false" outlineLevel="0" collapsed="false">
      <c r="A47" s="66"/>
      <c r="B47" s="67" t="s">
        <v>112</v>
      </c>
      <c r="C47" s="66"/>
      <c r="D47" s="66"/>
      <c r="E47" s="66"/>
      <c r="F47" s="68" t="n">
        <f aca="false">SUM(F7:F46)</f>
        <v>517500</v>
      </c>
      <c r="G47" s="68" t="n">
        <f aca="false">SUM(G7:G46)</f>
        <v>60000</v>
      </c>
      <c r="H47" s="68" t="n">
        <f aca="false">SUM(H7:H46)</f>
        <v>60000</v>
      </c>
      <c r="I47" s="68" t="n">
        <f aca="false">SUM(I7:I46)</f>
        <v>92500</v>
      </c>
      <c r="J47" s="68" t="n">
        <f aca="false">SUM(J7:J46)</f>
        <v>0</v>
      </c>
      <c r="K47" s="68" t="n">
        <f aca="false">SUM(K7:K46)</f>
        <v>0</v>
      </c>
      <c r="L47" s="68" t="n">
        <f aca="false">SUM(L7:L46)</f>
        <v>212500</v>
      </c>
      <c r="M47" s="68" t="n">
        <f aca="false">SUM(M7:M46)</f>
        <v>305000</v>
      </c>
      <c r="N47" s="69" t="n">
        <f aca="false">IF(F47=0,"",L47/F47)</f>
        <v>0.410628019323672</v>
      </c>
      <c r="O47" s="70" t="n">
        <f aca="false">COUNTIF(P7:P46,"Overdue")</f>
        <v>1</v>
      </c>
      <c r="P47" s="71" t="s">
        <v>113</v>
      </c>
      <c r="Q47" s="66"/>
    </row>
    <row r="49" customFormat="false" ht="15" hidden="false" customHeight="false" outlineLevel="0" collapsed="false">
      <c r="B49" s="20" t="s">
        <v>114</v>
      </c>
      <c r="F49" s="39" t="n">
        <f aca="false">F47-L47-M47</f>
        <v>0</v>
      </c>
    </row>
  </sheetData>
  <autoFilter ref="A5:Q46"/>
  <mergeCells count="3">
    <mergeCell ref="A1:Q1"/>
    <mergeCell ref="A2:Q2"/>
    <mergeCell ref="G4:K4"/>
  </mergeCells>
  <conditionalFormatting sqref="P7:P46">
    <cfRule type="cellIs" priority="2" operator="equal" aboveAverage="0" equalAverage="0" bottom="0" percent="0" rank="0" text="" dxfId="17">
      <formula>"Overdue"</formula>
    </cfRule>
    <cfRule type="cellIs" priority="3" operator="equal" aboveAverage="0" equalAverage="0" bottom="0" percent="0" rank="0" text="" dxfId="18">
      <formula>"Collected"</formula>
    </cfRule>
    <cfRule type="cellIs" priority="4" operator="equal" aboveAverage="0" equalAverage="0" bottom="0" percent="0" rank="0" text="" dxfId="19">
      <formula>"Open"</formula>
    </cfRule>
  </conditionalFormatting>
  <conditionalFormatting sqref="M7:M46">
    <cfRule type="cellIs" priority="5" operator="lessThan" aboveAverage="0" equalAverage="0" bottom="0" percent="0" rank="0" text="" dxfId="20">
      <formula>0</formula>
    </cfRule>
  </conditionalFormatting>
  <conditionalFormatting sqref="N7:N46">
    <cfRule type="expression" priority="6" aboveAverage="0" equalAverage="0" bottom="0" percent="0" rank="0" text="" dxfId="20">
      <formula>AND(N7&lt;&gt;"",N7&gt;1)</formula>
    </cfRule>
  </conditionalFormatting>
  <dataValidations count="1">
    <dataValidation allowBlank="true" error="Enter a valid date" errorStyle="stop" errorTitle="Date" operator="greaterThan" showDropDown="false" showErrorMessage="false" showInputMessage="false" sqref="D7:E46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&amp;RConfidential</oddHeader>
    <oddFooter>&amp;C&amp;A – Page &amp;P of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R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8"/>
    <col collapsed="false" customWidth="true" hidden="false" outlineLevel="0" max="12" min="8" style="0" width="15"/>
    <col collapsed="false" customWidth="true" hidden="false" outlineLevel="0" max="14" min="13" style="0" width="18"/>
    <col collapsed="false" customWidth="true" hidden="false" outlineLevel="0" max="16" min="15" style="0" width="11"/>
    <col collapsed="false" customWidth="true" hidden="false" outlineLevel="0" max="17" min="17" style="0" width="12"/>
    <col collapsed="false" customWidth="true" hidden="false" outlineLevel="0" max="18" min="18" style="0" width="30"/>
  </cols>
  <sheetData>
    <row r="1" customFormat="false" ht="30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H4" s="49" t="s">
        <v>116</v>
      </c>
      <c r="I4" s="49"/>
      <c r="J4" s="49"/>
      <c r="K4" s="49"/>
      <c r="L4" s="49"/>
    </row>
    <row r="5" customFormat="false" ht="31.5" hidden="false" customHeight="true" outlineLevel="0" collapsed="false">
      <c r="A5" s="50" t="s">
        <v>92</v>
      </c>
      <c r="B5" s="50" t="s">
        <v>117</v>
      </c>
      <c r="C5" s="50" t="s">
        <v>118</v>
      </c>
      <c r="D5" s="50" t="s">
        <v>94</v>
      </c>
      <c r="E5" s="50" t="s">
        <v>95</v>
      </c>
      <c r="F5" s="50" t="s">
        <v>96</v>
      </c>
      <c r="G5" s="50" t="s">
        <v>97</v>
      </c>
      <c r="H5" s="50" t="s">
        <v>21</v>
      </c>
      <c r="I5" s="50" t="s">
        <v>25</v>
      </c>
      <c r="J5" s="50" t="s">
        <v>29</v>
      </c>
      <c r="K5" s="50" t="s">
        <v>33</v>
      </c>
      <c r="L5" s="50" t="s">
        <v>35</v>
      </c>
      <c r="M5" s="50" t="s">
        <v>119</v>
      </c>
      <c r="N5" s="50" t="s">
        <v>99</v>
      </c>
      <c r="O5" s="50" t="s">
        <v>120</v>
      </c>
      <c r="P5" s="50" t="s">
        <v>101</v>
      </c>
      <c r="Q5" s="50" t="s">
        <v>102</v>
      </c>
      <c r="R5" s="50" t="s">
        <v>103</v>
      </c>
    </row>
    <row r="6" customFormat="false" ht="15" hidden="false" customHeight="false" outlineLevel="0" collapsed="false">
      <c r="A6" s="51"/>
      <c r="B6" s="52" t="s">
        <v>104</v>
      </c>
      <c r="C6" s="51"/>
      <c r="D6" s="51"/>
      <c r="E6" s="51"/>
      <c r="F6" s="51"/>
      <c r="G6" s="51"/>
      <c r="H6" s="53" t="n">
        <f aca="false">Dashboard!$C$10</f>
        <v>46237</v>
      </c>
      <c r="I6" s="53" t="n">
        <f aca="false">Dashboard!$C$11</f>
        <v>46244</v>
      </c>
      <c r="J6" s="53" t="n">
        <f aca="false">Dashboard!$C$12</f>
        <v>46251</v>
      </c>
      <c r="K6" s="53" t="n">
        <f aca="false">Dashboard!$C$13</f>
        <v>46258</v>
      </c>
      <c r="L6" s="53" t="n">
        <f aca="false">Dashboard!$C$14</f>
        <v>46265</v>
      </c>
      <c r="M6" s="51"/>
      <c r="N6" s="51"/>
      <c r="O6" s="51"/>
      <c r="P6" s="51"/>
      <c r="Q6" s="51"/>
      <c r="R6" s="51"/>
    </row>
    <row r="7" customFormat="false" ht="15" hidden="false" customHeight="false" outlineLevel="0" collapsed="false">
      <c r="A7" s="54" t="n">
        <f aca="false">IF(B7="","",ROW()-6)</f>
        <v>1</v>
      </c>
      <c r="B7" s="5" t="s">
        <v>121</v>
      </c>
      <c r="C7" s="5" t="s">
        <v>63</v>
      </c>
      <c r="D7" s="5" t="s">
        <v>122</v>
      </c>
      <c r="E7" s="55" t="n">
        <v>46259</v>
      </c>
      <c r="F7" s="55" t="n">
        <v>46265</v>
      </c>
      <c r="G7" s="56" t="n">
        <v>320000</v>
      </c>
      <c r="H7" s="56"/>
      <c r="I7" s="56"/>
      <c r="J7" s="56"/>
      <c r="K7" s="56" t="n">
        <v>320000</v>
      </c>
      <c r="L7" s="56"/>
      <c r="M7" s="57" t="n">
        <f aca="false">IF(B7="","",SUM(H7:L7))</f>
        <v>320000</v>
      </c>
      <c r="N7" s="36" t="n">
        <f aca="false">IF(B7="","",G7-M7)</f>
        <v>0</v>
      </c>
      <c r="O7" s="40" t="n">
        <f aca="false">IF(OR(B7="",G7=0),"",M7/G7)</f>
        <v>1</v>
      </c>
      <c r="P7" s="54" t="str">
        <f aca="false">IF(OR(B7="",F7="",N7&lt;=0),"",MAX(0,Dashboard!$C$8-F7))</f>
        <v/>
      </c>
      <c r="Q7" s="12" t="str">
        <f aca="false">IF(B7="","",IF(N7&lt;=0,"Paid",IF(AND(P7&lt;&gt;"",P7&gt;0),"Overdue","Scheduled")))</f>
        <v>Paid</v>
      </c>
      <c r="R7" s="5" t="s">
        <v>107</v>
      </c>
    </row>
    <row r="8" customFormat="false" ht="15" hidden="false" customHeight="false" outlineLevel="0" collapsed="false">
      <c r="A8" s="58" t="n">
        <f aca="false">IF(B8="","",ROW()-6)</f>
        <v>2</v>
      </c>
      <c r="B8" s="59" t="s">
        <v>123</v>
      </c>
      <c r="C8" s="59" t="s">
        <v>66</v>
      </c>
      <c r="D8" s="59" t="s">
        <v>124</v>
      </c>
      <c r="E8" s="60" t="n">
        <v>46235</v>
      </c>
      <c r="F8" s="60" t="n">
        <v>46239</v>
      </c>
      <c r="G8" s="61" t="n">
        <v>85000</v>
      </c>
      <c r="H8" s="61" t="n">
        <v>85000</v>
      </c>
      <c r="I8" s="61"/>
      <c r="J8" s="61"/>
      <c r="K8" s="61"/>
      <c r="L8" s="61"/>
      <c r="M8" s="62" t="n">
        <f aca="false">IF(B8="","",SUM(H8:L8))</f>
        <v>85000</v>
      </c>
      <c r="N8" s="63" t="n">
        <f aca="false">IF(B8="","",G8-M8)</f>
        <v>0</v>
      </c>
      <c r="O8" s="64" t="n">
        <f aca="false">IF(OR(B8="",G8=0),"",M8/G8)</f>
        <v>1</v>
      </c>
      <c r="P8" s="58" t="str">
        <f aca="false">IF(OR(B8="",F8="",N8&lt;=0),"",MAX(0,Dashboard!$C$8-F8))</f>
        <v/>
      </c>
      <c r="Q8" s="65" t="str">
        <f aca="false">IF(B8="","",IF(N8&lt;=0,"Paid",IF(AND(P8&lt;&gt;"",P8&gt;0),"Overdue","Scheduled")))</f>
        <v>Paid</v>
      </c>
      <c r="R8" s="59" t="s">
        <v>107</v>
      </c>
    </row>
    <row r="9" customFormat="false" ht="15" hidden="false" customHeight="false" outlineLevel="0" collapsed="false">
      <c r="A9" s="54" t="n">
        <f aca="false">IF(B9="","",ROW()-6)</f>
        <v>3</v>
      </c>
      <c r="B9" s="5" t="s">
        <v>125</v>
      </c>
      <c r="C9" s="5" t="s">
        <v>69</v>
      </c>
      <c r="D9" s="5" t="s">
        <v>126</v>
      </c>
      <c r="E9" s="55" t="n">
        <v>46223</v>
      </c>
      <c r="F9" s="55" t="n">
        <v>46253</v>
      </c>
      <c r="G9" s="56" t="n">
        <v>64300</v>
      </c>
      <c r="H9" s="56"/>
      <c r="I9" s="56"/>
      <c r="J9" s="56" t="n">
        <v>30000</v>
      </c>
      <c r="K9" s="56"/>
      <c r="L9" s="56"/>
      <c r="M9" s="57" t="n">
        <f aca="false">IF(B9="","",SUM(H9:L9))</f>
        <v>30000</v>
      </c>
      <c r="N9" s="36" t="n">
        <f aca="false">IF(B9="","",G9-M9)</f>
        <v>34300</v>
      </c>
      <c r="O9" s="40" t="n">
        <f aca="false">IF(OR(B9="",G9=0),"",M9/G9)</f>
        <v>0.46656298600311</v>
      </c>
      <c r="P9" s="54" t="n">
        <f aca="false">IF(OR(B9="",F9="",N9&lt;=0),"",MAX(0,Dashboard!$C$8-F9))</f>
        <v>12</v>
      </c>
      <c r="Q9" s="12" t="str">
        <f aca="false">IF(B9="","",IF(N9&lt;=0,"Paid",IF(AND(P9&lt;&gt;"",P9&gt;0),"Overdue","Scheduled")))</f>
        <v>Overdue</v>
      </c>
      <c r="R9" s="5" t="s">
        <v>107</v>
      </c>
    </row>
    <row r="10" customFormat="false" ht="15" hidden="false" customHeight="false" outlineLevel="0" collapsed="false">
      <c r="A10" s="58" t="str">
        <f aca="false">IF(B10="","",ROW()-6)</f>
        <v/>
      </c>
      <c r="B10" s="59"/>
      <c r="C10" s="59"/>
      <c r="D10" s="59"/>
      <c r="E10" s="60"/>
      <c r="F10" s="60"/>
      <c r="G10" s="61"/>
      <c r="H10" s="61"/>
      <c r="I10" s="61"/>
      <c r="J10" s="61"/>
      <c r="K10" s="61"/>
      <c r="L10" s="61"/>
      <c r="M10" s="62" t="str">
        <f aca="false">IF(B10="","",SUM(H10:L10))</f>
        <v/>
      </c>
      <c r="N10" s="63" t="str">
        <f aca="false">IF(B10="","",G10-M10)</f>
        <v/>
      </c>
      <c r="O10" s="64" t="str">
        <f aca="false">IF(OR(B10="",G10=0),"",M10/G10)</f>
        <v/>
      </c>
      <c r="P10" s="58" t="str">
        <f aca="false">IF(OR(B10="",F10="",N10&lt;=0),"",MAX(0,Dashboard!$C$8-F10))</f>
        <v/>
      </c>
      <c r="Q10" s="65" t="str">
        <f aca="false">IF(B10="","",IF(N10&lt;=0,"Paid",IF(AND(P10&lt;&gt;"",P10&gt;0),"Overdue","Scheduled")))</f>
        <v/>
      </c>
      <c r="R10" s="59"/>
    </row>
    <row r="11" customFormat="false" ht="15" hidden="false" customHeight="false" outlineLevel="0" collapsed="false">
      <c r="A11" s="54" t="str">
        <f aca="false">IF(B11="","",ROW()-6)</f>
        <v/>
      </c>
      <c r="B11" s="5"/>
      <c r="C11" s="5"/>
      <c r="D11" s="5"/>
      <c r="E11" s="55"/>
      <c r="F11" s="55"/>
      <c r="G11" s="56"/>
      <c r="H11" s="56"/>
      <c r="I11" s="56"/>
      <c r="J11" s="56"/>
      <c r="K11" s="56"/>
      <c r="L11" s="56"/>
      <c r="M11" s="57" t="str">
        <f aca="false">IF(B11="","",SUM(H11:L11))</f>
        <v/>
      </c>
      <c r="N11" s="36" t="str">
        <f aca="false">IF(B11="","",G11-M11)</f>
        <v/>
      </c>
      <c r="O11" s="40" t="str">
        <f aca="false">IF(OR(B11="",G11=0),"",M11/G11)</f>
        <v/>
      </c>
      <c r="P11" s="54" t="str">
        <f aca="false">IF(OR(B11="",F11="",N11&lt;=0),"",MAX(0,Dashboard!$C$8-F11))</f>
        <v/>
      </c>
      <c r="Q11" s="12" t="str">
        <f aca="false">IF(B11="","",IF(N11&lt;=0,"Paid",IF(AND(P11&lt;&gt;"",P11&gt;0),"Overdue","Scheduled")))</f>
        <v/>
      </c>
      <c r="R11" s="5"/>
    </row>
    <row r="12" customFormat="false" ht="15" hidden="false" customHeight="false" outlineLevel="0" collapsed="false">
      <c r="A12" s="58" t="str">
        <f aca="false">IF(B12="","",ROW()-6)</f>
        <v/>
      </c>
      <c r="B12" s="59"/>
      <c r="C12" s="59"/>
      <c r="D12" s="59"/>
      <c r="E12" s="60"/>
      <c r="F12" s="60"/>
      <c r="G12" s="61"/>
      <c r="H12" s="61"/>
      <c r="I12" s="61"/>
      <c r="J12" s="61"/>
      <c r="K12" s="61"/>
      <c r="L12" s="61"/>
      <c r="M12" s="62" t="str">
        <f aca="false">IF(B12="","",SUM(H12:L12))</f>
        <v/>
      </c>
      <c r="N12" s="63" t="str">
        <f aca="false">IF(B12="","",G12-M12)</f>
        <v/>
      </c>
      <c r="O12" s="64" t="str">
        <f aca="false">IF(OR(B12="",G12=0),"",M12/G12)</f>
        <v/>
      </c>
      <c r="P12" s="58" t="str">
        <f aca="false">IF(OR(B12="",F12="",N12&lt;=0),"",MAX(0,Dashboard!$C$8-F12))</f>
        <v/>
      </c>
      <c r="Q12" s="65" t="str">
        <f aca="false">IF(B12="","",IF(N12&lt;=0,"Paid",IF(AND(P12&lt;&gt;"",P12&gt;0),"Overdue","Scheduled")))</f>
        <v/>
      </c>
      <c r="R12" s="59"/>
    </row>
    <row r="13" customFormat="false" ht="15" hidden="false" customHeight="false" outlineLevel="0" collapsed="false">
      <c r="A13" s="54" t="str">
        <f aca="false">IF(B13="","",ROW()-6)</f>
        <v/>
      </c>
      <c r="B13" s="5"/>
      <c r="C13" s="5"/>
      <c r="D13" s="5"/>
      <c r="E13" s="55"/>
      <c r="F13" s="55"/>
      <c r="G13" s="56"/>
      <c r="H13" s="56"/>
      <c r="I13" s="56"/>
      <c r="J13" s="56"/>
      <c r="K13" s="56"/>
      <c r="L13" s="56"/>
      <c r="M13" s="57" t="str">
        <f aca="false">IF(B13="","",SUM(H13:L13))</f>
        <v/>
      </c>
      <c r="N13" s="36" t="str">
        <f aca="false">IF(B13="","",G13-M13)</f>
        <v/>
      </c>
      <c r="O13" s="40" t="str">
        <f aca="false">IF(OR(B13="",G13=0),"",M13/G13)</f>
        <v/>
      </c>
      <c r="P13" s="54" t="str">
        <f aca="false">IF(OR(B13="",F13="",N13&lt;=0),"",MAX(0,Dashboard!$C$8-F13))</f>
        <v/>
      </c>
      <c r="Q13" s="12" t="str">
        <f aca="false">IF(B13="","",IF(N13&lt;=0,"Paid",IF(AND(P13&lt;&gt;"",P13&gt;0),"Overdue","Scheduled")))</f>
        <v/>
      </c>
      <c r="R13" s="5"/>
    </row>
    <row r="14" customFormat="false" ht="15" hidden="false" customHeight="false" outlineLevel="0" collapsed="false">
      <c r="A14" s="58" t="str">
        <f aca="false">IF(B14="","",ROW()-6)</f>
        <v/>
      </c>
      <c r="B14" s="59"/>
      <c r="C14" s="59"/>
      <c r="D14" s="59"/>
      <c r="E14" s="60"/>
      <c r="F14" s="60"/>
      <c r="G14" s="61"/>
      <c r="H14" s="61"/>
      <c r="I14" s="61"/>
      <c r="J14" s="61"/>
      <c r="K14" s="61"/>
      <c r="L14" s="61"/>
      <c r="M14" s="62" t="str">
        <f aca="false">IF(B14="","",SUM(H14:L14))</f>
        <v/>
      </c>
      <c r="N14" s="63" t="str">
        <f aca="false">IF(B14="","",G14-M14)</f>
        <v/>
      </c>
      <c r="O14" s="64" t="str">
        <f aca="false">IF(OR(B14="",G14=0),"",M14/G14)</f>
        <v/>
      </c>
      <c r="P14" s="58" t="str">
        <f aca="false">IF(OR(B14="",F14="",N14&lt;=0),"",MAX(0,Dashboard!$C$8-F14))</f>
        <v/>
      </c>
      <c r="Q14" s="65" t="str">
        <f aca="false">IF(B14="","",IF(N14&lt;=0,"Paid",IF(AND(P14&lt;&gt;"",P14&gt;0),"Overdue","Scheduled")))</f>
        <v/>
      </c>
      <c r="R14" s="59"/>
    </row>
    <row r="15" customFormat="false" ht="15" hidden="false" customHeight="false" outlineLevel="0" collapsed="false">
      <c r="A15" s="54" t="str">
        <f aca="false">IF(B15="","",ROW()-6)</f>
        <v/>
      </c>
      <c r="B15" s="5"/>
      <c r="C15" s="5"/>
      <c r="D15" s="5"/>
      <c r="E15" s="55"/>
      <c r="F15" s="55"/>
      <c r="G15" s="56"/>
      <c r="H15" s="56"/>
      <c r="I15" s="56"/>
      <c r="J15" s="56"/>
      <c r="K15" s="56"/>
      <c r="L15" s="56"/>
      <c r="M15" s="57" t="str">
        <f aca="false">IF(B15="","",SUM(H15:L15))</f>
        <v/>
      </c>
      <c r="N15" s="36" t="str">
        <f aca="false">IF(B15="","",G15-M15)</f>
        <v/>
      </c>
      <c r="O15" s="40" t="str">
        <f aca="false">IF(OR(B15="",G15=0),"",M15/G15)</f>
        <v/>
      </c>
      <c r="P15" s="54" t="str">
        <f aca="false">IF(OR(B15="",F15="",N15&lt;=0),"",MAX(0,Dashboard!$C$8-F15))</f>
        <v/>
      </c>
      <c r="Q15" s="12" t="str">
        <f aca="false">IF(B15="","",IF(N15&lt;=0,"Paid",IF(AND(P15&lt;&gt;"",P15&gt;0),"Overdue","Scheduled")))</f>
        <v/>
      </c>
      <c r="R15" s="5"/>
    </row>
    <row r="16" customFormat="false" ht="15" hidden="false" customHeight="false" outlineLevel="0" collapsed="false">
      <c r="A16" s="58" t="str">
        <f aca="false">IF(B16="","",ROW()-6)</f>
        <v/>
      </c>
      <c r="B16" s="59"/>
      <c r="C16" s="59"/>
      <c r="D16" s="59"/>
      <c r="E16" s="60"/>
      <c r="F16" s="60"/>
      <c r="G16" s="61"/>
      <c r="H16" s="61"/>
      <c r="I16" s="61"/>
      <c r="J16" s="61"/>
      <c r="K16" s="61"/>
      <c r="L16" s="61"/>
      <c r="M16" s="62" t="str">
        <f aca="false">IF(B16="","",SUM(H16:L16))</f>
        <v/>
      </c>
      <c r="N16" s="63" t="str">
        <f aca="false">IF(B16="","",G16-M16)</f>
        <v/>
      </c>
      <c r="O16" s="64" t="str">
        <f aca="false">IF(OR(B16="",G16=0),"",M16/G16)</f>
        <v/>
      </c>
      <c r="P16" s="58" t="str">
        <f aca="false">IF(OR(B16="",F16="",N16&lt;=0),"",MAX(0,Dashboard!$C$8-F16))</f>
        <v/>
      </c>
      <c r="Q16" s="65" t="str">
        <f aca="false">IF(B16="","",IF(N16&lt;=0,"Paid",IF(AND(P16&lt;&gt;"",P16&gt;0),"Overdue","Scheduled")))</f>
        <v/>
      </c>
      <c r="R16" s="59"/>
    </row>
    <row r="17" customFormat="false" ht="15" hidden="false" customHeight="false" outlineLevel="0" collapsed="false">
      <c r="A17" s="54" t="str">
        <f aca="false">IF(B17="","",ROW()-6)</f>
        <v/>
      </c>
      <c r="B17" s="5"/>
      <c r="C17" s="5"/>
      <c r="D17" s="5"/>
      <c r="E17" s="55"/>
      <c r="F17" s="55"/>
      <c r="G17" s="56"/>
      <c r="H17" s="56"/>
      <c r="I17" s="56"/>
      <c r="J17" s="56"/>
      <c r="K17" s="56"/>
      <c r="L17" s="56"/>
      <c r="M17" s="57" t="str">
        <f aca="false">IF(B17="","",SUM(H17:L17))</f>
        <v/>
      </c>
      <c r="N17" s="36" t="str">
        <f aca="false">IF(B17="","",G17-M17)</f>
        <v/>
      </c>
      <c r="O17" s="40" t="str">
        <f aca="false">IF(OR(B17="",G17=0),"",M17/G17)</f>
        <v/>
      </c>
      <c r="P17" s="54" t="str">
        <f aca="false">IF(OR(B17="",F17="",N17&lt;=0),"",MAX(0,Dashboard!$C$8-F17))</f>
        <v/>
      </c>
      <c r="Q17" s="12" t="str">
        <f aca="false">IF(B17="","",IF(N17&lt;=0,"Paid",IF(AND(P17&lt;&gt;"",P17&gt;0),"Overdue","Scheduled")))</f>
        <v/>
      </c>
      <c r="R17" s="5"/>
    </row>
    <row r="18" customFormat="false" ht="15" hidden="false" customHeight="false" outlineLevel="0" collapsed="false">
      <c r="A18" s="58" t="str">
        <f aca="false">IF(B18="","",ROW()-6)</f>
        <v/>
      </c>
      <c r="B18" s="59"/>
      <c r="C18" s="59"/>
      <c r="D18" s="59"/>
      <c r="E18" s="60"/>
      <c r="F18" s="60"/>
      <c r="G18" s="61"/>
      <c r="H18" s="61"/>
      <c r="I18" s="61"/>
      <c r="J18" s="61"/>
      <c r="K18" s="61"/>
      <c r="L18" s="61"/>
      <c r="M18" s="62" t="str">
        <f aca="false">IF(B18="","",SUM(H18:L18))</f>
        <v/>
      </c>
      <c r="N18" s="63" t="str">
        <f aca="false">IF(B18="","",G18-M18)</f>
        <v/>
      </c>
      <c r="O18" s="64" t="str">
        <f aca="false">IF(OR(B18="",G18=0),"",M18/G18)</f>
        <v/>
      </c>
      <c r="P18" s="58" t="str">
        <f aca="false">IF(OR(B18="",F18="",N18&lt;=0),"",MAX(0,Dashboard!$C$8-F18))</f>
        <v/>
      </c>
      <c r="Q18" s="65" t="str">
        <f aca="false">IF(B18="","",IF(N18&lt;=0,"Paid",IF(AND(P18&lt;&gt;"",P18&gt;0),"Overdue","Scheduled")))</f>
        <v/>
      </c>
      <c r="R18" s="59"/>
    </row>
    <row r="19" customFormat="false" ht="15" hidden="false" customHeight="false" outlineLevel="0" collapsed="false">
      <c r="A19" s="54" t="str">
        <f aca="false">IF(B19="","",ROW()-6)</f>
        <v/>
      </c>
      <c r="B19" s="5"/>
      <c r="C19" s="5"/>
      <c r="D19" s="5"/>
      <c r="E19" s="55"/>
      <c r="F19" s="55"/>
      <c r="G19" s="56"/>
      <c r="H19" s="56"/>
      <c r="I19" s="56"/>
      <c r="J19" s="56"/>
      <c r="K19" s="56"/>
      <c r="L19" s="56"/>
      <c r="M19" s="57" t="str">
        <f aca="false">IF(B19="","",SUM(H19:L19))</f>
        <v/>
      </c>
      <c r="N19" s="36" t="str">
        <f aca="false">IF(B19="","",G19-M19)</f>
        <v/>
      </c>
      <c r="O19" s="40" t="str">
        <f aca="false">IF(OR(B19="",G19=0),"",M19/G19)</f>
        <v/>
      </c>
      <c r="P19" s="54" t="str">
        <f aca="false">IF(OR(B19="",F19="",N19&lt;=0),"",MAX(0,Dashboard!$C$8-F19))</f>
        <v/>
      </c>
      <c r="Q19" s="12" t="str">
        <f aca="false">IF(B19="","",IF(N19&lt;=0,"Paid",IF(AND(P19&lt;&gt;"",P19&gt;0),"Overdue","Scheduled")))</f>
        <v/>
      </c>
      <c r="R19" s="5"/>
    </row>
    <row r="20" customFormat="false" ht="15" hidden="false" customHeight="false" outlineLevel="0" collapsed="false">
      <c r="A20" s="58" t="str">
        <f aca="false">IF(B20="","",ROW()-6)</f>
        <v/>
      </c>
      <c r="B20" s="59"/>
      <c r="C20" s="59"/>
      <c r="D20" s="59"/>
      <c r="E20" s="60"/>
      <c r="F20" s="60"/>
      <c r="G20" s="61"/>
      <c r="H20" s="61"/>
      <c r="I20" s="61"/>
      <c r="J20" s="61"/>
      <c r="K20" s="61"/>
      <c r="L20" s="61"/>
      <c r="M20" s="62" t="str">
        <f aca="false">IF(B20="","",SUM(H20:L20))</f>
        <v/>
      </c>
      <c r="N20" s="63" t="str">
        <f aca="false">IF(B20="","",G20-M20)</f>
        <v/>
      </c>
      <c r="O20" s="64" t="str">
        <f aca="false">IF(OR(B20="",G20=0),"",M20/G20)</f>
        <v/>
      </c>
      <c r="P20" s="58" t="str">
        <f aca="false">IF(OR(B20="",F20="",N20&lt;=0),"",MAX(0,Dashboard!$C$8-F20))</f>
        <v/>
      </c>
      <c r="Q20" s="65" t="str">
        <f aca="false">IF(B20="","",IF(N20&lt;=0,"Paid",IF(AND(P20&lt;&gt;"",P20&gt;0),"Overdue","Scheduled")))</f>
        <v/>
      </c>
      <c r="R20" s="59"/>
    </row>
    <row r="21" customFormat="false" ht="15" hidden="false" customHeight="false" outlineLevel="0" collapsed="false">
      <c r="A21" s="54" t="str">
        <f aca="false">IF(B21="","",ROW()-6)</f>
        <v/>
      </c>
      <c r="B21" s="5"/>
      <c r="C21" s="5"/>
      <c r="D21" s="5"/>
      <c r="E21" s="55"/>
      <c r="F21" s="55"/>
      <c r="G21" s="56"/>
      <c r="H21" s="56"/>
      <c r="I21" s="56"/>
      <c r="J21" s="56"/>
      <c r="K21" s="56"/>
      <c r="L21" s="56"/>
      <c r="M21" s="57" t="str">
        <f aca="false">IF(B21="","",SUM(H21:L21))</f>
        <v/>
      </c>
      <c r="N21" s="36" t="str">
        <f aca="false">IF(B21="","",G21-M21)</f>
        <v/>
      </c>
      <c r="O21" s="40" t="str">
        <f aca="false">IF(OR(B21="",G21=0),"",M21/G21)</f>
        <v/>
      </c>
      <c r="P21" s="54" t="str">
        <f aca="false">IF(OR(B21="",F21="",N21&lt;=0),"",MAX(0,Dashboard!$C$8-F21))</f>
        <v/>
      </c>
      <c r="Q21" s="12" t="str">
        <f aca="false">IF(B21="","",IF(N21&lt;=0,"Paid",IF(AND(P21&lt;&gt;"",P21&gt;0),"Overdue","Scheduled")))</f>
        <v/>
      </c>
      <c r="R21" s="5"/>
    </row>
    <row r="22" customFormat="false" ht="15" hidden="false" customHeight="false" outlineLevel="0" collapsed="false">
      <c r="A22" s="58" t="str">
        <f aca="false">IF(B22="","",ROW()-6)</f>
        <v/>
      </c>
      <c r="B22" s="59"/>
      <c r="C22" s="59"/>
      <c r="D22" s="59"/>
      <c r="E22" s="60"/>
      <c r="F22" s="60"/>
      <c r="G22" s="61"/>
      <c r="H22" s="61"/>
      <c r="I22" s="61"/>
      <c r="J22" s="61"/>
      <c r="K22" s="61"/>
      <c r="L22" s="61"/>
      <c r="M22" s="62" t="str">
        <f aca="false">IF(B22="","",SUM(H22:L22))</f>
        <v/>
      </c>
      <c r="N22" s="63" t="str">
        <f aca="false">IF(B22="","",G22-M22)</f>
        <v/>
      </c>
      <c r="O22" s="64" t="str">
        <f aca="false">IF(OR(B22="",G22=0),"",M22/G22)</f>
        <v/>
      </c>
      <c r="P22" s="58" t="str">
        <f aca="false">IF(OR(B22="",F22="",N22&lt;=0),"",MAX(0,Dashboard!$C$8-F22))</f>
        <v/>
      </c>
      <c r="Q22" s="65" t="str">
        <f aca="false">IF(B22="","",IF(N22&lt;=0,"Paid",IF(AND(P22&lt;&gt;"",P22&gt;0),"Overdue","Scheduled")))</f>
        <v/>
      </c>
      <c r="R22" s="59"/>
    </row>
    <row r="23" customFormat="false" ht="15" hidden="false" customHeight="false" outlineLevel="0" collapsed="false">
      <c r="A23" s="54" t="str">
        <f aca="false">IF(B23="","",ROW()-6)</f>
        <v/>
      </c>
      <c r="B23" s="5"/>
      <c r="C23" s="5"/>
      <c r="D23" s="5"/>
      <c r="E23" s="55"/>
      <c r="F23" s="55"/>
      <c r="G23" s="56"/>
      <c r="H23" s="56"/>
      <c r="I23" s="56"/>
      <c r="J23" s="56"/>
      <c r="K23" s="56"/>
      <c r="L23" s="56"/>
      <c r="M23" s="57" t="str">
        <f aca="false">IF(B23="","",SUM(H23:L23))</f>
        <v/>
      </c>
      <c r="N23" s="36" t="str">
        <f aca="false">IF(B23="","",G23-M23)</f>
        <v/>
      </c>
      <c r="O23" s="40" t="str">
        <f aca="false">IF(OR(B23="",G23=0),"",M23/G23)</f>
        <v/>
      </c>
      <c r="P23" s="54" t="str">
        <f aca="false">IF(OR(B23="",F23="",N23&lt;=0),"",MAX(0,Dashboard!$C$8-F23))</f>
        <v/>
      </c>
      <c r="Q23" s="12" t="str">
        <f aca="false">IF(B23="","",IF(N23&lt;=0,"Paid",IF(AND(P23&lt;&gt;"",P23&gt;0),"Overdue","Scheduled")))</f>
        <v/>
      </c>
      <c r="R23" s="5"/>
    </row>
    <row r="24" customFormat="false" ht="15" hidden="false" customHeight="false" outlineLevel="0" collapsed="false">
      <c r="A24" s="58" t="str">
        <f aca="false">IF(B24="","",ROW()-6)</f>
        <v/>
      </c>
      <c r="B24" s="59"/>
      <c r="C24" s="59"/>
      <c r="D24" s="59"/>
      <c r="E24" s="60"/>
      <c r="F24" s="60"/>
      <c r="G24" s="61"/>
      <c r="H24" s="61"/>
      <c r="I24" s="61"/>
      <c r="J24" s="61"/>
      <c r="K24" s="61"/>
      <c r="L24" s="61"/>
      <c r="M24" s="62" t="str">
        <f aca="false">IF(B24="","",SUM(H24:L24))</f>
        <v/>
      </c>
      <c r="N24" s="63" t="str">
        <f aca="false">IF(B24="","",G24-M24)</f>
        <v/>
      </c>
      <c r="O24" s="64" t="str">
        <f aca="false">IF(OR(B24="",G24=0),"",M24/G24)</f>
        <v/>
      </c>
      <c r="P24" s="58" t="str">
        <f aca="false">IF(OR(B24="",F24="",N24&lt;=0),"",MAX(0,Dashboard!$C$8-F24))</f>
        <v/>
      </c>
      <c r="Q24" s="65" t="str">
        <f aca="false">IF(B24="","",IF(N24&lt;=0,"Paid",IF(AND(P24&lt;&gt;"",P24&gt;0),"Overdue","Scheduled")))</f>
        <v/>
      </c>
      <c r="R24" s="59"/>
    </row>
    <row r="25" customFormat="false" ht="15" hidden="false" customHeight="false" outlineLevel="0" collapsed="false">
      <c r="A25" s="54" t="str">
        <f aca="false">IF(B25="","",ROW()-6)</f>
        <v/>
      </c>
      <c r="B25" s="5"/>
      <c r="C25" s="5"/>
      <c r="D25" s="5"/>
      <c r="E25" s="55"/>
      <c r="F25" s="55"/>
      <c r="G25" s="56"/>
      <c r="H25" s="56"/>
      <c r="I25" s="56"/>
      <c r="J25" s="56"/>
      <c r="K25" s="56"/>
      <c r="L25" s="56"/>
      <c r="M25" s="57" t="str">
        <f aca="false">IF(B25="","",SUM(H25:L25))</f>
        <v/>
      </c>
      <c r="N25" s="36" t="str">
        <f aca="false">IF(B25="","",G25-M25)</f>
        <v/>
      </c>
      <c r="O25" s="40" t="str">
        <f aca="false">IF(OR(B25="",G25=0),"",M25/G25)</f>
        <v/>
      </c>
      <c r="P25" s="54" t="str">
        <f aca="false">IF(OR(B25="",F25="",N25&lt;=0),"",MAX(0,Dashboard!$C$8-F25))</f>
        <v/>
      </c>
      <c r="Q25" s="12" t="str">
        <f aca="false">IF(B25="","",IF(N25&lt;=0,"Paid",IF(AND(P25&lt;&gt;"",P25&gt;0),"Overdue","Scheduled")))</f>
        <v/>
      </c>
      <c r="R25" s="5"/>
    </row>
    <row r="26" customFormat="false" ht="15" hidden="false" customHeight="false" outlineLevel="0" collapsed="false">
      <c r="A26" s="58" t="str">
        <f aca="false">IF(B26="","",ROW()-6)</f>
        <v/>
      </c>
      <c r="B26" s="59"/>
      <c r="C26" s="59"/>
      <c r="D26" s="59"/>
      <c r="E26" s="60"/>
      <c r="F26" s="60"/>
      <c r="G26" s="61"/>
      <c r="H26" s="61"/>
      <c r="I26" s="61"/>
      <c r="J26" s="61"/>
      <c r="K26" s="61"/>
      <c r="L26" s="61"/>
      <c r="M26" s="62" t="str">
        <f aca="false">IF(B26="","",SUM(H26:L26))</f>
        <v/>
      </c>
      <c r="N26" s="63" t="str">
        <f aca="false">IF(B26="","",G26-M26)</f>
        <v/>
      </c>
      <c r="O26" s="64" t="str">
        <f aca="false">IF(OR(B26="",G26=0),"",M26/G26)</f>
        <v/>
      </c>
      <c r="P26" s="58" t="str">
        <f aca="false">IF(OR(B26="",F26="",N26&lt;=0),"",MAX(0,Dashboard!$C$8-F26))</f>
        <v/>
      </c>
      <c r="Q26" s="65" t="str">
        <f aca="false">IF(B26="","",IF(N26&lt;=0,"Paid",IF(AND(P26&lt;&gt;"",P26&gt;0),"Overdue","Scheduled")))</f>
        <v/>
      </c>
      <c r="R26" s="59"/>
    </row>
    <row r="27" customFormat="false" ht="15" hidden="false" customHeight="false" outlineLevel="0" collapsed="false">
      <c r="A27" s="54" t="str">
        <f aca="false">IF(B27="","",ROW()-6)</f>
        <v/>
      </c>
      <c r="B27" s="5"/>
      <c r="C27" s="5"/>
      <c r="D27" s="5"/>
      <c r="E27" s="55"/>
      <c r="F27" s="55"/>
      <c r="G27" s="56"/>
      <c r="H27" s="56"/>
      <c r="I27" s="56"/>
      <c r="J27" s="56"/>
      <c r="K27" s="56"/>
      <c r="L27" s="56"/>
      <c r="M27" s="57" t="str">
        <f aca="false">IF(B27="","",SUM(H27:L27))</f>
        <v/>
      </c>
      <c r="N27" s="36" t="str">
        <f aca="false">IF(B27="","",G27-M27)</f>
        <v/>
      </c>
      <c r="O27" s="40" t="str">
        <f aca="false">IF(OR(B27="",G27=0),"",M27/G27)</f>
        <v/>
      </c>
      <c r="P27" s="54" t="str">
        <f aca="false">IF(OR(B27="",F27="",N27&lt;=0),"",MAX(0,Dashboard!$C$8-F27))</f>
        <v/>
      </c>
      <c r="Q27" s="12" t="str">
        <f aca="false">IF(B27="","",IF(N27&lt;=0,"Paid",IF(AND(P27&lt;&gt;"",P27&gt;0),"Overdue","Scheduled")))</f>
        <v/>
      </c>
      <c r="R27" s="5"/>
    </row>
    <row r="28" customFormat="false" ht="15" hidden="false" customHeight="false" outlineLevel="0" collapsed="false">
      <c r="A28" s="58" t="str">
        <f aca="false">IF(B28="","",ROW()-6)</f>
        <v/>
      </c>
      <c r="B28" s="59"/>
      <c r="C28" s="59"/>
      <c r="D28" s="59"/>
      <c r="E28" s="60"/>
      <c r="F28" s="60"/>
      <c r="G28" s="61"/>
      <c r="H28" s="61"/>
      <c r="I28" s="61"/>
      <c r="J28" s="61"/>
      <c r="K28" s="61"/>
      <c r="L28" s="61"/>
      <c r="M28" s="62" t="str">
        <f aca="false">IF(B28="","",SUM(H28:L28))</f>
        <v/>
      </c>
      <c r="N28" s="63" t="str">
        <f aca="false">IF(B28="","",G28-M28)</f>
        <v/>
      </c>
      <c r="O28" s="64" t="str">
        <f aca="false">IF(OR(B28="",G28=0),"",M28/G28)</f>
        <v/>
      </c>
      <c r="P28" s="58" t="str">
        <f aca="false">IF(OR(B28="",F28="",N28&lt;=0),"",MAX(0,Dashboard!$C$8-F28))</f>
        <v/>
      </c>
      <c r="Q28" s="65" t="str">
        <f aca="false">IF(B28="","",IF(N28&lt;=0,"Paid",IF(AND(P28&lt;&gt;"",P28&gt;0),"Overdue","Scheduled")))</f>
        <v/>
      </c>
      <c r="R28" s="59"/>
    </row>
    <row r="29" customFormat="false" ht="15" hidden="false" customHeight="false" outlineLevel="0" collapsed="false">
      <c r="A29" s="54" t="str">
        <f aca="false">IF(B29="","",ROW()-6)</f>
        <v/>
      </c>
      <c r="B29" s="5"/>
      <c r="C29" s="5"/>
      <c r="D29" s="5"/>
      <c r="E29" s="55"/>
      <c r="F29" s="55"/>
      <c r="G29" s="56"/>
      <c r="H29" s="56"/>
      <c r="I29" s="56"/>
      <c r="J29" s="56"/>
      <c r="K29" s="56"/>
      <c r="L29" s="56"/>
      <c r="M29" s="57" t="str">
        <f aca="false">IF(B29="","",SUM(H29:L29))</f>
        <v/>
      </c>
      <c r="N29" s="36" t="str">
        <f aca="false">IF(B29="","",G29-M29)</f>
        <v/>
      </c>
      <c r="O29" s="40" t="str">
        <f aca="false">IF(OR(B29="",G29=0),"",M29/G29)</f>
        <v/>
      </c>
      <c r="P29" s="54" t="str">
        <f aca="false">IF(OR(B29="",F29="",N29&lt;=0),"",MAX(0,Dashboard!$C$8-F29))</f>
        <v/>
      </c>
      <c r="Q29" s="12" t="str">
        <f aca="false">IF(B29="","",IF(N29&lt;=0,"Paid",IF(AND(P29&lt;&gt;"",P29&gt;0),"Overdue","Scheduled")))</f>
        <v/>
      </c>
      <c r="R29" s="5"/>
    </row>
    <row r="30" customFormat="false" ht="15" hidden="false" customHeight="false" outlineLevel="0" collapsed="false">
      <c r="A30" s="58" t="str">
        <f aca="false">IF(B30="","",ROW()-6)</f>
        <v/>
      </c>
      <c r="B30" s="59"/>
      <c r="C30" s="59"/>
      <c r="D30" s="59"/>
      <c r="E30" s="60"/>
      <c r="F30" s="60"/>
      <c r="G30" s="61"/>
      <c r="H30" s="61"/>
      <c r="I30" s="61"/>
      <c r="J30" s="61"/>
      <c r="K30" s="61"/>
      <c r="L30" s="61"/>
      <c r="M30" s="62" t="str">
        <f aca="false">IF(B30="","",SUM(H30:L30))</f>
        <v/>
      </c>
      <c r="N30" s="63" t="str">
        <f aca="false">IF(B30="","",G30-M30)</f>
        <v/>
      </c>
      <c r="O30" s="64" t="str">
        <f aca="false">IF(OR(B30="",G30=0),"",M30/G30)</f>
        <v/>
      </c>
      <c r="P30" s="58" t="str">
        <f aca="false">IF(OR(B30="",F30="",N30&lt;=0),"",MAX(0,Dashboard!$C$8-F30))</f>
        <v/>
      </c>
      <c r="Q30" s="65" t="str">
        <f aca="false">IF(B30="","",IF(N30&lt;=0,"Paid",IF(AND(P30&lt;&gt;"",P30&gt;0),"Overdue","Scheduled")))</f>
        <v/>
      </c>
      <c r="R30" s="59"/>
    </row>
    <row r="31" customFormat="false" ht="15" hidden="false" customHeight="false" outlineLevel="0" collapsed="false">
      <c r="A31" s="54" t="str">
        <f aca="false">IF(B31="","",ROW()-6)</f>
        <v/>
      </c>
      <c r="B31" s="5"/>
      <c r="C31" s="5"/>
      <c r="D31" s="5"/>
      <c r="E31" s="55"/>
      <c r="F31" s="55"/>
      <c r="G31" s="56"/>
      <c r="H31" s="56"/>
      <c r="I31" s="56"/>
      <c r="J31" s="56"/>
      <c r="K31" s="56"/>
      <c r="L31" s="56"/>
      <c r="M31" s="57" t="str">
        <f aca="false">IF(B31="","",SUM(H31:L31))</f>
        <v/>
      </c>
      <c r="N31" s="36" t="str">
        <f aca="false">IF(B31="","",G31-M31)</f>
        <v/>
      </c>
      <c r="O31" s="40" t="str">
        <f aca="false">IF(OR(B31="",G31=0),"",M31/G31)</f>
        <v/>
      </c>
      <c r="P31" s="54" t="str">
        <f aca="false">IF(OR(B31="",F31="",N31&lt;=0),"",MAX(0,Dashboard!$C$8-F31))</f>
        <v/>
      </c>
      <c r="Q31" s="12" t="str">
        <f aca="false">IF(B31="","",IF(N31&lt;=0,"Paid",IF(AND(P31&lt;&gt;"",P31&gt;0),"Overdue","Scheduled")))</f>
        <v/>
      </c>
      <c r="R31" s="5"/>
    </row>
    <row r="32" customFormat="false" ht="15" hidden="false" customHeight="false" outlineLevel="0" collapsed="false">
      <c r="A32" s="58" t="str">
        <f aca="false">IF(B32="","",ROW()-6)</f>
        <v/>
      </c>
      <c r="B32" s="59"/>
      <c r="C32" s="59"/>
      <c r="D32" s="59"/>
      <c r="E32" s="60"/>
      <c r="F32" s="60"/>
      <c r="G32" s="61"/>
      <c r="H32" s="61"/>
      <c r="I32" s="61"/>
      <c r="J32" s="61"/>
      <c r="K32" s="61"/>
      <c r="L32" s="61"/>
      <c r="M32" s="62" t="str">
        <f aca="false">IF(B32="","",SUM(H32:L32))</f>
        <v/>
      </c>
      <c r="N32" s="63" t="str">
        <f aca="false">IF(B32="","",G32-M32)</f>
        <v/>
      </c>
      <c r="O32" s="64" t="str">
        <f aca="false">IF(OR(B32="",G32=0),"",M32/G32)</f>
        <v/>
      </c>
      <c r="P32" s="58" t="str">
        <f aca="false">IF(OR(B32="",F32="",N32&lt;=0),"",MAX(0,Dashboard!$C$8-F32))</f>
        <v/>
      </c>
      <c r="Q32" s="65" t="str">
        <f aca="false">IF(B32="","",IF(N32&lt;=0,"Paid",IF(AND(P32&lt;&gt;"",P32&gt;0),"Overdue","Scheduled")))</f>
        <v/>
      </c>
      <c r="R32" s="59"/>
    </row>
    <row r="33" customFormat="false" ht="15" hidden="false" customHeight="false" outlineLevel="0" collapsed="false">
      <c r="A33" s="54" t="str">
        <f aca="false">IF(B33="","",ROW()-6)</f>
        <v/>
      </c>
      <c r="B33" s="5"/>
      <c r="C33" s="5"/>
      <c r="D33" s="5"/>
      <c r="E33" s="55"/>
      <c r="F33" s="55"/>
      <c r="G33" s="56"/>
      <c r="H33" s="56"/>
      <c r="I33" s="56"/>
      <c r="J33" s="56"/>
      <c r="K33" s="56"/>
      <c r="L33" s="56"/>
      <c r="M33" s="57" t="str">
        <f aca="false">IF(B33="","",SUM(H33:L33))</f>
        <v/>
      </c>
      <c r="N33" s="36" t="str">
        <f aca="false">IF(B33="","",G33-M33)</f>
        <v/>
      </c>
      <c r="O33" s="40" t="str">
        <f aca="false">IF(OR(B33="",G33=0),"",M33/G33)</f>
        <v/>
      </c>
      <c r="P33" s="54" t="str">
        <f aca="false">IF(OR(B33="",F33="",N33&lt;=0),"",MAX(0,Dashboard!$C$8-F33))</f>
        <v/>
      </c>
      <c r="Q33" s="12" t="str">
        <f aca="false">IF(B33="","",IF(N33&lt;=0,"Paid",IF(AND(P33&lt;&gt;"",P33&gt;0),"Overdue","Scheduled")))</f>
        <v/>
      </c>
      <c r="R33" s="5"/>
    </row>
    <row r="34" customFormat="false" ht="15" hidden="false" customHeight="false" outlineLevel="0" collapsed="false">
      <c r="A34" s="58" t="str">
        <f aca="false">IF(B34="","",ROW()-6)</f>
        <v/>
      </c>
      <c r="B34" s="59"/>
      <c r="C34" s="59"/>
      <c r="D34" s="59"/>
      <c r="E34" s="60"/>
      <c r="F34" s="60"/>
      <c r="G34" s="61"/>
      <c r="H34" s="61"/>
      <c r="I34" s="61"/>
      <c r="J34" s="61"/>
      <c r="K34" s="61"/>
      <c r="L34" s="61"/>
      <c r="M34" s="62" t="str">
        <f aca="false">IF(B34="","",SUM(H34:L34))</f>
        <v/>
      </c>
      <c r="N34" s="63" t="str">
        <f aca="false">IF(B34="","",G34-M34)</f>
        <v/>
      </c>
      <c r="O34" s="64" t="str">
        <f aca="false">IF(OR(B34="",G34=0),"",M34/G34)</f>
        <v/>
      </c>
      <c r="P34" s="58" t="str">
        <f aca="false">IF(OR(B34="",F34="",N34&lt;=0),"",MAX(0,Dashboard!$C$8-F34))</f>
        <v/>
      </c>
      <c r="Q34" s="65" t="str">
        <f aca="false">IF(B34="","",IF(N34&lt;=0,"Paid",IF(AND(P34&lt;&gt;"",P34&gt;0),"Overdue","Scheduled")))</f>
        <v/>
      </c>
      <c r="R34" s="59"/>
    </row>
    <row r="35" customFormat="false" ht="15" hidden="false" customHeight="false" outlineLevel="0" collapsed="false">
      <c r="A35" s="54" t="str">
        <f aca="false">IF(B35="","",ROW()-6)</f>
        <v/>
      </c>
      <c r="B35" s="5"/>
      <c r="C35" s="5"/>
      <c r="D35" s="5"/>
      <c r="E35" s="55"/>
      <c r="F35" s="55"/>
      <c r="G35" s="56"/>
      <c r="H35" s="56"/>
      <c r="I35" s="56"/>
      <c r="J35" s="56"/>
      <c r="K35" s="56"/>
      <c r="L35" s="56"/>
      <c r="M35" s="57" t="str">
        <f aca="false">IF(B35="","",SUM(H35:L35))</f>
        <v/>
      </c>
      <c r="N35" s="36" t="str">
        <f aca="false">IF(B35="","",G35-M35)</f>
        <v/>
      </c>
      <c r="O35" s="40" t="str">
        <f aca="false">IF(OR(B35="",G35=0),"",M35/G35)</f>
        <v/>
      </c>
      <c r="P35" s="54" t="str">
        <f aca="false">IF(OR(B35="",F35="",N35&lt;=0),"",MAX(0,Dashboard!$C$8-F35))</f>
        <v/>
      </c>
      <c r="Q35" s="12" t="str">
        <f aca="false">IF(B35="","",IF(N35&lt;=0,"Paid",IF(AND(P35&lt;&gt;"",P35&gt;0),"Overdue","Scheduled")))</f>
        <v/>
      </c>
      <c r="R35" s="5"/>
    </row>
    <row r="36" customFormat="false" ht="15" hidden="false" customHeight="false" outlineLevel="0" collapsed="false">
      <c r="A36" s="58" t="str">
        <f aca="false">IF(B36="","",ROW()-6)</f>
        <v/>
      </c>
      <c r="B36" s="59"/>
      <c r="C36" s="59"/>
      <c r="D36" s="59"/>
      <c r="E36" s="60"/>
      <c r="F36" s="60"/>
      <c r="G36" s="61"/>
      <c r="H36" s="61"/>
      <c r="I36" s="61"/>
      <c r="J36" s="61"/>
      <c r="K36" s="61"/>
      <c r="L36" s="61"/>
      <c r="M36" s="62" t="str">
        <f aca="false">IF(B36="","",SUM(H36:L36))</f>
        <v/>
      </c>
      <c r="N36" s="63" t="str">
        <f aca="false">IF(B36="","",G36-M36)</f>
        <v/>
      </c>
      <c r="O36" s="64" t="str">
        <f aca="false">IF(OR(B36="",G36=0),"",M36/G36)</f>
        <v/>
      </c>
      <c r="P36" s="58" t="str">
        <f aca="false">IF(OR(B36="",F36="",N36&lt;=0),"",MAX(0,Dashboard!$C$8-F36))</f>
        <v/>
      </c>
      <c r="Q36" s="65" t="str">
        <f aca="false">IF(B36="","",IF(N36&lt;=0,"Paid",IF(AND(P36&lt;&gt;"",P36&gt;0),"Overdue","Scheduled")))</f>
        <v/>
      </c>
      <c r="R36" s="59"/>
    </row>
    <row r="37" customFormat="false" ht="15" hidden="false" customHeight="false" outlineLevel="0" collapsed="false">
      <c r="A37" s="54" t="str">
        <f aca="false">IF(B37="","",ROW()-6)</f>
        <v/>
      </c>
      <c r="B37" s="5"/>
      <c r="C37" s="5"/>
      <c r="D37" s="5"/>
      <c r="E37" s="55"/>
      <c r="F37" s="55"/>
      <c r="G37" s="56"/>
      <c r="H37" s="56"/>
      <c r="I37" s="56"/>
      <c r="J37" s="56"/>
      <c r="K37" s="56"/>
      <c r="L37" s="56"/>
      <c r="M37" s="57" t="str">
        <f aca="false">IF(B37="","",SUM(H37:L37))</f>
        <v/>
      </c>
      <c r="N37" s="36" t="str">
        <f aca="false">IF(B37="","",G37-M37)</f>
        <v/>
      </c>
      <c r="O37" s="40" t="str">
        <f aca="false">IF(OR(B37="",G37=0),"",M37/G37)</f>
        <v/>
      </c>
      <c r="P37" s="54" t="str">
        <f aca="false">IF(OR(B37="",F37="",N37&lt;=0),"",MAX(0,Dashboard!$C$8-F37))</f>
        <v/>
      </c>
      <c r="Q37" s="12" t="str">
        <f aca="false">IF(B37="","",IF(N37&lt;=0,"Paid",IF(AND(P37&lt;&gt;"",P37&gt;0),"Overdue","Scheduled")))</f>
        <v/>
      </c>
      <c r="R37" s="5"/>
    </row>
    <row r="38" customFormat="false" ht="15" hidden="false" customHeight="false" outlineLevel="0" collapsed="false">
      <c r="A38" s="58" t="str">
        <f aca="false">IF(B38="","",ROW()-6)</f>
        <v/>
      </c>
      <c r="B38" s="59"/>
      <c r="C38" s="59"/>
      <c r="D38" s="59"/>
      <c r="E38" s="60"/>
      <c r="F38" s="60"/>
      <c r="G38" s="61"/>
      <c r="H38" s="61"/>
      <c r="I38" s="61"/>
      <c r="J38" s="61"/>
      <c r="K38" s="61"/>
      <c r="L38" s="61"/>
      <c r="M38" s="62" t="str">
        <f aca="false">IF(B38="","",SUM(H38:L38))</f>
        <v/>
      </c>
      <c r="N38" s="63" t="str">
        <f aca="false">IF(B38="","",G38-M38)</f>
        <v/>
      </c>
      <c r="O38" s="64" t="str">
        <f aca="false">IF(OR(B38="",G38=0),"",M38/G38)</f>
        <v/>
      </c>
      <c r="P38" s="58" t="str">
        <f aca="false">IF(OR(B38="",F38="",N38&lt;=0),"",MAX(0,Dashboard!$C$8-F38))</f>
        <v/>
      </c>
      <c r="Q38" s="65" t="str">
        <f aca="false">IF(B38="","",IF(N38&lt;=0,"Paid",IF(AND(P38&lt;&gt;"",P38&gt;0),"Overdue","Scheduled")))</f>
        <v/>
      </c>
      <c r="R38" s="59"/>
    </row>
    <row r="39" customFormat="false" ht="15" hidden="false" customHeight="false" outlineLevel="0" collapsed="false">
      <c r="A39" s="54" t="str">
        <f aca="false">IF(B39="","",ROW()-6)</f>
        <v/>
      </c>
      <c r="B39" s="5"/>
      <c r="C39" s="5"/>
      <c r="D39" s="5"/>
      <c r="E39" s="55"/>
      <c r="F39" s="55"/>
      <c r="G39" s="56"/>
      <c r="H39" s="56"/>
      <c r="I39" s="56"/>
      <c r="J39" s="56"/>
      <c r="K39" s="56"/>
      <c r="L39" s="56"/>
      <c r="M39" s="57" t="str">
        <f aca="false">IF(B39="","",SUM(H39:L39))</f>
        <v/>
      </c>
      <c r="N39" s="36" t="str">
        <f aca="false">IF(B39="","",G39-M39)</f>
        <v/>
      </c>
      <c r="O39" s="40" t="str">
        <f aca="false">IF(OR(B39="",G39=0),"",M39/G39)</f>
        <v/>
      </c>
      <c r="P39" s="54" t="str">
        <f aca="false">IF(OR(B39="",F39="",N39&lt;=0),"",MAX(0,Dashboard!$C$8-F39))</f>
        <v/>
      </c>
      <c r="Q39" s="12" t="str">
        <f aca="false">IF(B39="","",IF(N39&lt;=0,"Paid",IF(AND(P39&lt;&gt;"",P39&gt;0),"Overdue","Scheduled")))</f>
        <v/>
      </c>
      <c r="R39" s="5"/>
    </row>
    <row r="40" customFormat="false" ht="15" hidden="false" customHeight="false" outlineLevel="0" collapsed="false">
      <c r="A40" s="58" t="str">
        <f aca="false">IF(B40="","",ROW()-6)</f>
        <v/>
      </c>
      <c r="B40" s="59"/>
      <c r="C40" s="59"/>
      <c r="D40" s="59"/>
      <c r="E40" s="60"/>
      <c r="F40" s="60"/>
      <c r="G40" s="61"/>
      <c r="H40" s="61"/>
      <c r="I40" s="61"/>
      <c r="J40" s="61"/>
      <c r="K40" s="61"/>
      <c r="L40" s="61"/>
      <c r="M40" s="62" t="str">
        <f aca="false">IF(B40="","",SUM(H40:L40))</f>
        <v/>
      </c>
      <c r="N40" s="63" t="str">
        <f aca="false">IF(B40="","",G40-M40)</f>
        <v/>
      </c>
      <c r="O40" s="64" t="str">
        <f aca="false">IF(OR(B40="",G40=0),"",M40/G40)</f>
        <v/>
      </c>
      <c r="P40" s="58" t="str">
        <f aca="false">IF(OR(B40="",F40="",N40&lt;=0),"",MAX(0,Dashboard!$C$8-F40))</f>
        <v/>
      </c>
      <c r="Q40" s="65" t="str">
        <f aca="false">IF(B40="","",IF(N40&lt;=0,"Paid",IF(AND(P40&lt;&gt;"",P40&gt;0),"Overdue","Scheduled")))</f>
        <v/>
      </c>
      <c r="R40" s="59"/>
    </row>
    <row r="41" customFormat="false" ht="15" hidden="false" customHeight="false" outlineLevel="0" collapsed="false">
      <c r="A41" s="54" t="str">
        <f aca="false">IF(B41="","",ROW()-6)</f>
        <v/>
      </c>
      <c r="B41" s="5"/>
      <c r="C41" s="5"/>
      <c r="D41" s="5"/>
      <c r="E41" s="55"/>
      <c r="F41" s="55"/>
      <c r="G41" s="56"/>
      <c r="H41" s="56"/>
      <c r="I41" s="56"/>
      <c r="J41" s="56"/>
      <c r="K41" s="56"/>
      <c r="L41" s="56"/>
      <c r="M41" s="57" t="str">
        <f aca="false">IF(B41="","",SUM(H41:L41))</f>
        <v/>
      </c>
      <c r="N41" s="36" t="str">
        <f aca="false">IF(B41="","",G41-M41)</f>
        <v/>
      </c>
      <c r="O41" s="40" t="str">
        <f aca="false">IF(OR(B41="",G41=0),"",M41/G41)</f>
        <v/>
      </c>
      <c r="P41" s="54" t="str">
        <f aca="false">IF(OR(B41="",F41="",N41&lt;=0),"",MAX(0,Dashboard!$C$8-F41))</f>
        <v/>
      </c>
      <c r="Q41" s="12" t="str">
        <f aca="false">IF(B41="","",IF(N41&lt;=0,"Paid",IF(AND(P41&lt;&gt;"",P41&gt;0),"Overdue","Scheduled")))</f>
        <v/>
      </c>
      <c r="R41" s="5"/>
    </row>
    <row r="42" customFormat="false" ht="15" hidden="false" customHeight="false" outlineLevel="0" collapsed="false">
      <c r="A42" s="58" t="str">
        <f aca="false">IF(B42="","",ROW()-6)</f>
        <v/>
      </c>
      <c r="B42" s="59"/>
      <c r="C42" s="59"/>
      <c r="D42" s="59"/>
      <c r="E42" s="60"/>
      <c r="F42" s="60"/>
      <c r="G42" s="61"/>
      <c r="H42" s="61"/>
      <c r="I42" s="61"/>
      <c r="J42" s="61"/>
      <c r="K42" s="61"/>
      <c r="L42" s="61"/>
      <c r="M42" s="62" t="str">
        <f aca="false">IF(B42="","",SUM(H42:L42))</f>
        <v/>
      </c>
      <c r="N42" s="63" t="str">
        <f aca="false">IF(B42="","",G42-M42)</f>
        <v/>
      </c>
      <c r="O42" s="64" t="str">
        <f aca="false">IF(OR(B42="",G42=0),"",M42/G42)</f>
        <v/>
      </c>
      <c r="P42" s="58" t="str">
        <f aca="false">IF(OR(B42="",F42="",N42&lt;=0),"",MAX(0,Dashboard!$C$8-F42))</f>
        <v/>
      </c>
      <c r="Q42" s="65" t="str">
        <f aca="false">IF(B42="","",IF(N42&lt;=0,"Paid",IF(AND(P42&lt;&gt;"",P42&gt;0),"Overdue","Scheduled")))</f>
        <v/>
      </c>
      <c r="R42" s="59"/>
    </row>
    <row r="43" customFormat="false" ht="15" hidden="false" customHeight="false" outlineLevel="0" collapsed="false">
      <c r="A43" s="54" t="str">
        <f aca="false">IF(B43="","",ROW()-6)</f>
        <v/>
      </c>
      <c r="B43" s="5"/>
      <c r="C43" s="5"/>
      <c r="D43" s="5"/>
      <c r="E43" s="55"/>
      <c r="F43" s="55"/>
      <c r="G43" s="56"/>
      <c r="H43" s="56"/>
      <c r="I43" s="56"/>
      <c r="J43" s="56"/>
      <c r="K43" s="56"/>
      <c r="L43" s="56"/>
      <c r="M43" s="57" t="str">
        <f aca="false">IF(B43="","",SUM(H43:L43))</f>
        <v/>
      </c>
      <c r="N43" s="36" t="str">
        <f aca="false">IF(B43="","",G43-M43)</f>
        <v/>
      </c>
      <c r="O43" s="40" t="str">
        <f aca="false">IF(OR(B43="",G43=0),"",M43/G43)</f>
        <v/>
      </c>
      <c r="P43" s="54" t="str">
        <f aca="false">IF(OR(B43="",F43="",N43&lt;=0),"",MAX(0,Dashboard!$C$8-F43))</f>
        <v/>
      </c>
      <c r="Q43" s="12" t="str">
        <f aca="false">IF(B43="","",IF(N43&lt;=0,"Paid",IF(AND(P43&lt;&gt;"",P43&gt;0),"Overdue","Scheduled")))</f>
        <v/>
      </c>
      <c r="R43" s="5"/>
    </row>
    <row r="44" customFormat="false" ht="15" hidden="false" customHeight="false" outlineLevel="0" collapsed="false">
      <c r="A44" s="58" t="str">
        <f aca="false">IF(B44="","",ROW()-6)</f>
        <v/>
      </c>
      <c r="B44" s="59"/>
      <c r="C44" s="59"/>
      <c r="D44" s="59"/>
      <c r="E44" s="60"/>
      <c r="F44" s="60"/>
      <c r="G44" s="61"/>
      <c r="H44" s="61"/>
      <c r="I44" s="61"/>
      <c r="J44" s="61"/>
      <c r="K44" s="61"/>
      <c r="L44" s="61"/>
      <c r="M44" s="62" t="str">
        <f aca="false">IF(B44="","",SUM(H44:L44))</f>
        <v/>
      </c>
      <c r="N44" s="63" t="str">
        <f aca="false">IF(B44="","",G44-M44)</f>
        <v/>
      </c>
      <c r="O44" s="64" t="str">
        <f aca="false">IF(OR(B44="",G44=0),"",M44/G44)</f>
        <v/>
      </c>
      <c r="P44" s="58" t="str">
        <f aca="false">IF(OR(B44="",F44="",N44&lt;=0),"",MAX(0,Dashboard!$C$8-F44))</f>
        <v/>
      </c>
      <c r="Q44" s="65" t="str">
        <f aca="false">IF(B44="","",IF(N44&lt;=0,"Paid",IF(AND(P44&lt;&gt;"",P44&gt;0),"Overdue","Scheduled")))</f>
        <v/>
      </c>
      <c r="R44" s="59"/>
    </row>
    <row r="45" customFormat="false" ht="15" hidden="false" customHeight="false" outlineLevel="0" collapsed="false">
      <c r="A45" s="54" t="str">
        <f aca="false">IF(B45="","",ROW()-6)</f>
        <v/>
      </c>
      <c r="B45" s="5"/>
      <c r="C45" s="5"/>
      <c r="D45" s="5"/>
      <c r="E45" s="55"/>
      <c r="F45" s="55"/>
      <c r="G45" s="56"/>
      <c r="H45" s="56"/>
      <c r="I45" s="56"/>
      <c r="J45" s="56"/>
      <c r="K45" s="56"/>
      <c r="L45" s="56"/>
      <c r="M45" s="57" t="str">
        <f aca="false">IF(B45="","",SUM(H45:L45))</f>
        <v/>
      </c>
      <c r="N45" s="36" t="str">
        <f aca="false">IF(B45="","",G45-M45)</f>
        <v/>
      </c>
      <c r="O45" s="40" t="str">
        <f aca="false">IF(OR(B45="",G45=0),"",M45/G45)</f>
        <v/>
      </c>
      <c r="P45" s="54" t="str">
        <f aca="false">IF(OR(B45="",F45="",N45&lt;=0),"",MAX(0,Dashboard!$C$8-F45))</f>
        <v/>
      </c>
      <c r="Q45" s="12" t="str">
        <f aca="false">IF(B45="","",IF(N45&lt;=0,"Paid",IF(AND(P45&lt;&gt;"",P45&gt;0),"Overdue","Scheduled")))</f>
        <v/>
      </c>
      <c r="R45" s="5"/>
    </row>
    <row r="46" customFormat="false" ht="15" hidden="false" customHeight="false" outlineLevel="0" collapsed="false">
      <c r="A46" s="58" t="str">
        <f aca="false">IF(B46="","",ROW()-6)</f>
        <v/>
      </c>
      <c r="B46" s="59"/>
      <c r="C46" s="59"/>
      <c r="D46" s="59"/>
      <c r="E46" s="60"/>
      <c r="F46" s="60"/>
      <c r="G46" s="61"/>
      <c r="H46" s="61"/>
      <c r="I46" s="61"/>
      <c r="J46" s="61"/>
      <c r="K46" s="61"/>
      <c r="L46" s="61"/>
      <c r="M46" s="62" t="str">
        <f aca="false">IF(B46="","",SUM(H46:L46))</f>
        <v/>
      </c>
      <c r="N46" s="63" t="str">
        <f aca="false">IF(B46="","",G46-M46)</f>
        <v/>
      </c>
      <c r="O46" s="64" t="str">
        <f aca="false">IF(OR(B46="",G46=0),"",M46/G46)</f>
        <v/>
      </c>
      <c r="P46" s="58" t="str">
        <f aca="false">IF(OR(B46="",F46="",N46&lt;=0),"",MAX(0,Dashboard!$C$8-F46))</f>
        <v/>
      </c>
      <c r="Q46" s="65" t="str">
        <f aca="false">IF(B46="","",IF(N46&lt;=0,"Paid",IF(AND(P46&lt;&gt;"",P46&gt;0),"Overdue","Scheduled")))</f>
        <v/>
      </c>
      <c r="R46" s="59"/>
    </row>
    <row r="47" customFormat="false" ht="15" hidden="false" customHeight="false" outlineLevel="0" collapsed="false">
      <c r="A47" s="66"/>
      <c r="B47" s="67" t="s">
        <v>112</v>
      </c>
      <c r="C47" s="66"/>
      <c r="D47" s="66"/>
      <c r="E47" s="66"/>
      <c r="F47" s="66"/>
      <c r="G47" s="68" t="n">
        <f aca="false">SUM(G7:G46)</f>
        <v>469300</v>
      </c>
      <c r="H47" s="68" t="n">
        <f aca="false">SUM(H7:H46)</f>
        <v>85000</v>
      </c>
      <c r="I47" s="68" t="n">
        <f aca="false">SUM(I7:I46)</f>
        <v>0</v>
      </c>
      <c r="J47" s="68" t="n">
        <f aca="false">SUM(J7:J46)</f>
        <v>30000</v>
      </c>
      <c r="K47" s="68" t="n">
        <f aca="false">SUM(K7:K46)</f>
        <v>320000</v>
      </c>
      <c r="L47" s="68" t="n">
        <f aca="false">SUM(L7:L46)</f>
        <v>0</v>
      </c>
      <c r="M47" s="68" t="n">
        <f aca="false">SUM(M7:M46)</f>
        <v>435000</v>
      </c>
      <c r="N47" s="68" t="n">
        <f aca="false">SUM(N7:N46)</f>
        <v>34300</v>
      </c>
      <c r="O47" s="69" t="n">
        <f aca="false">IF(G47=0,"",M47/G47)</f>
        <v>0.926912422757298</v>
      </c>
      <c r="P47" s="70" t="n">
        <f aca="false">COUNTIF(Q7:Q46,"Overdue")</f>
        <v>1</v>
      </c>
      <c r="Q47" s="71" t="s">
        <v>113</v>
      </c>
      <c r="R47" s="66"/>
    </row>
    <row r="49" customFormat="false" ht="15" hidden="false" customHeight="false" outlineLevel="0" collapsed="false">
      <c r="B49" s="20" t="s">
        <v>127</v>
      </c>
      <c r="G49" s="39" t="n">
        <f aca="false">G47-M47-N47</f>
        <v>0</v>
      </c>
    </row>
  </sheetData>
  <autoFilter ref="A5:R46"/>
  <mergeCells count="3">
    <mergeCell ref="A1:R1"/>
    <mergeCell ref="A2:R2"/>
    <mergeCell ref="H4:L4"/>
  </mergeCells>
  <conditionalFormatting sqref="Q7:Q46">
    <cfRule type="cellIs" priority="2" operator="equal" aboveAverage="0" equalAverage="0" bottom="0" percent="0" rank="0" text="" dxfId="17">
      <formula>"Overdue"</formula>
    </cfRule>
    <cfRule type="cellIs" priority="3" operator="equal" aboveAverage="0" equalAverage="0" bottom="0" percent="0" rank="0" text="" dxfId="18">
      <formula>"Paid"</formula>
    </cfRule>
    <cfRule type="cellIs" priority="4" operator="equal" aboveAverage="0" equalAverage="0" bottom="0" percent="0" rank="0" text="" dxfId="19">
      <formula>"Scheduled"</formula>
    </cfRule>
  </conditionalFormatting>
  <conditionalFormatting sqref="N7:N46">
    <cfRule type="cellIs" priority="5" operator="lessThan" aboveAverage="0" equalAverage="0" bottom="0" percent="0" rank="0" text="" dxfId="20">
      <formula>0</formula>
    </cfRule>
  </conditionalFormatting>
  <dataValidations count="2">
    <dataValidation allowBlank="true" error="Choose a category from the list" errorStyle="stop" errorTitle="Category" operator="between" showDropDown="false" showErrorMessage="false" showInputMessage="false" sqref="C7:C46" type="list">
      <formula1>"Payroll,Rent &amp; Utilities,Suppliers / COGS,Taxes &amp; Social Security,Marketing,IT &amp; Software,Professional Fees,Loan / Finance,Other"</formula1>
      <formula2>0</formula2>
    </dataValidation>
    <dataValidation allowBlank="true" errorStyle="stop" operator="greaterThan" showDropDown="false" showErrorMessage="false" showInputMessage="false" sqref="E7:F46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&amp;RConfidential</oddHeader>
    <oddFooter>&amp;C&amp;A –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6000"/>
    <pageSetUpPr fitToPage="true"/>
  </sheetPr>
  <dimension ref="A1:T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4" min="3" style="0" width="13"/>
    <col collapsed="false" customWidth="true" hidden="false" outlineLevel="0" max="5" min="5" style="0" width="32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4" min="10" style="0" width="15"/>
    <col collapsed="false" customWidth="true" hidden="false" outlineLevel="0" max="16" min="15" style="0" width="18"/>
    <col collapsed="false" customWidth="true" hidden="false" outlineLevel="0" max="17" min="17" style="0" width="11"/>
    <col collapsed="false" customWidth="true" hidden="false" outlineLevel="0" max="18" min="18" style="0" width="13"/>
    <col collapsed="false" customWidth="true" hidden="false" outlineLevel="0" max="19" min="19" style="0" width="12"/>
    <col collapsed="false" customWidth="true" hidden="false" outlineLevel="0" max="20" min="20" style="0" width="30"/>
  </cols>
  <sheetData>
    <row r="1" customFormat="false" ht="30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8" hidden="false" customHeight="true" outlineLevel="0" collapsed="false">
      <c r="A2" s="2" t="s">
        <v>129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5" hidden="false" customHeight="false" outlineLevel="0" collapsed="false">
      <c r="J4" s="49" t="s">
        <v>130</v>
      </c>
      <c r="K4" s="49"/>
      <c r="L4" s="49"/>
      <c r="M4" s="49"/>
      <c r="N4" s="49"/>
    </row>
    <row r="5" customFormat="false" ht="31.5" hidden="false" customHeight="true" outlineLevel="0" collapsed="false">
      <c r="A5" s="50" t="s">
        <v>92</v>
      </c>
      <c r="B5" s="50" t="s">
        <v>131</v>
      </c>
      <c r="C5" s="50" t="s">
        <v>95</v>
      </c>
      <c r="D5" s="50" t="s">
        <v>96</v>
      </c>
      <c r="E5" s="50" t="s">
        <v>132</v>
      </c>
      <c r="F5" s="50" t="s">
        <v>12</v>
      </c>
      <c r="G5" s="50" t="s">
        <v>133</v>
      </c>
      <c r="H5" s="50" t="s">
        <v>134</v>
      </c>
      <c r="I5" s="50" t="s">
        <v>97</v>
      </c>
      <c r="J5" s="50" t="s">
        <v>21</v>
      </c>
      <c r="K5" s="50" t="s">
        <v>25</v>
      </c>
      <c r="L5" s="50" t="s">
        <v>29</v>
      </c>
      <c r="M5" s="50" t="s">
        <v>33</v>
      </c>
      <c r="N5" s="50" t="s">
        <v>35</v>
      </c>
      <c r="O5" s="50" t="s">
        <v>119</v>
      </c>
      <c r="P5" s="50" t="s">
        <v>99</v>
      </c>
      <c r="Q5" s="50" t="s">
        <v>101</v>
      </c>
      <c r="R5" s="50" t="s">
        <v>135</v>
      </c>
      <c r="S5" s="50" t="s">
        <v>102</v>
      </c>
      <c r="T5" s="50" t="s">
        <v>103</v>
      </c>
    </row>
    <row r="6" customFormat="false" ht="15" hidden="false" customHeight="false" outlineLevel="0" collapsed="false">
      <c r="A6" s="51"/>
      <c r="B6" s="51"/>
      <c r="C6" s="51"/>
      <c r="D6" s="51"/>
      <c r="E6" s="52" t="s">
        <v>104</v>
      </c>
      <c r="F6" s="51"/>
      <c r="G6" s="51"/>
      <c r="H6" s="51"/>
      <c r="I6" s="51"/>
      <c r="J6" s="53" t="n">
        <f aca="false">Dashboard!$C$10</f>
        <v>46237</v>
      </c>
      <c r="K6" s="53" t="n">
        <f aca="false">Dashboard!$C$11</f>
        <v>46244</v>
      </c>
      <c r="L6" s="53" t="n">
        <f aca="false">Dashboard!$C$12</f>
        <v>46251</v>
      </c>
      <c r="M6" s="53" t="n">
        <f aca="false">Dashboard!$C$13</f>
        <v>46258</v>
      </c>
      <c r="N6" s="53" t="n">
        <f aca="false">Dashboard!$C$14</f>
        <v>46265</v>
      </c>
      <c r="O6" s="51"/>
      <c r="P6" s="51"/>
      <c r="Q6" s="51"/>
      <c r="R6" s="51"/>
      <c r="S6" s="51"/>
      <c r="T6" s="51"/>
    </row>
    <row r="7" customFormat="false" ht="15" hidden="false" customHeight="false" outlineLevel="0" collapsed="false">
      <c r="A7" s="54" t="n">
        <f aca="false">IF(B7="","",ROW()-6)</f>
        <v>1</v>
      </c>
      <c r="B7" s="5" t="s">
        <v>136</v>
      </c>
      <c r="C7" s="55" t="n">
        <v>46172</v>
      </c>
      <c r="D7" s="55" t="n">
        <v>46202</v>
      </c>
      <c r="E7" s="5" t="s">
        <v>137</v>
      </c>
      <c r="F7" s="72" t="s">
        <v>18</v>
      </c>
      <c r="G7" s="73" t="n">
        <v>12500</v>
      </c>
      <c r="H7" s="74" t="n">
        <f aca="false">IF(B7="","",IFERROR(INDEX(Dashboard!$G$9:$G$12,MATCH(F7,Dashboard!$F$9:$F$12,0)),1))</f>
        <v>55.2</v>
      </c>
      <c r="I7" s="57" t="n">
        <f aca="false">IF(B7="","",G7*H7)</f>
        <v>690000</v>
      </c>
      <c r="J7" s="56"/>
      <c r="K7" s="56"/>
      <c r="L7" s="56"/>
      <c r="M7" s="56"/>
      <c r="N7" s="56"/>
      <c r="O7" s="57" t="n">
        <f aca="false">IF(B7="","",SUM(J7:N7))</f>
        <v>0</v>
      </c>
      <c r="P7" s="36" t="n">
        <f aca="false">IF(B7="","",I7-O7)</f>
        <v>690000</v>
      </c>
      <c r="Q7" s="54" t="n">
        <f aca="false">IF(OR(B7="",D7="",P7&lt;=0),"",MAX(0,Dashboard!$C$8-D7))</f>
        <v>63</v>
      </c>
      <c r="R7" s="75" t="str">
        <f aca="false">IF(OR(B7="",P7&lt;=0),"",IF(Q7=0,"Not due",IF(Q7&lt;=30,"1-30 days",IF(Q7&lt;=60,"31-60 days",IF(Q7&lt;=90,"61-90 days","90+ days")))))</f>
        <v>61-90 days</v>
      </c>
      <c r="S7" s="12" t="str">
        <f aca="false">IF(B7="","",IF(P7&lt;=0,"Settled",IF(AND(Q7&lt;&gt;"",Q7&gt;0),"Overdue","Open")))</f>
        <v>Overdue</v>
      </c>
      <c r="T7" s="5" t="s">
        <v>107</v>
      </c>
    </row>
    <row r="8" customFormat="false" ht="15" hidden="false" customHeight="false" outlineLevel="0" collapsed="false">
      <c r="A8" s="58" t="n">
        <f aca="false">IF(B8="","",ROW()-6)</f>
        <v>2</v>
      </c>
      <c r="B8" s="59" t="s">
        <v>138</v>
      </c>
      <c r="C8" s="60" t="n">
        <v>46203</v>
      </c>
      <c r="D8" s="60" t="n">
        <v>46233</v>
      </c>
      <c r="E8" s="59" t="s">
        <v>139</v>
      </c>
      <c r="F8" s="76" t="s">
        <v>18</v>
      </c>
      <c r="G8" s="77" t="n">
        <v>4200</v>
      </c>
      <c r="H8" s="78" t="n">
        <f aca="false">IF(B8="","",IFERROR(INDEX(Dashboard!$G$9:$G$12,MATCH(F8,Dashboard!$F$9:$F$12,0)),1))</f>
        <v>55.2</v>
      </c>
      <c r="I8" s="62" t="n">
        <f aca="false">IF(B8="","",G8*H8)</f>
        <v>231840</v>
      </c>
      <c r="J8" s="61"/>
      <c r="K8" s="61"/>
      <c r="L8" s="61"/>
      <c r="M8" s="61"/>
      <c r="N8" s="61"/>
      <c r="O8" s="62" t="n">
        <f aca="false">IF(B8="","",SUM(J8:N8))</f>
        <v>0</v>
      </c>
      <c r="P8" s="63" t="n">
        <f aca="false">IF(B8="","",I8-O8)</f>
        <v>231840</v>
      </c>
      <c r="Q8" s="58" t="n">
        <f aca="false">IF(OR(B8="",D8="",P8&lt;=0),"",MAX(0,Dashboard!$C$8-D8))</f>
        <v>32</v>
      </c>
      <c r="R8" s="79" t="str">
        <f aca="false">IF(OR(B8="",P8&lt;=0),"",IF(Q8=0,"Not due",IF(Q8&lt;=30,"1-30 days",IF(Q8&lt;=60,"31-60 days",IF(Q8&lt;=90,"61-90 days","90+ days")))))</f>
        <v>31-60 days</v>
      </c>
      <c r="S8" s="65" t="str">
        <f aca="false">IF(B8="","",IF(P8&lt;=0,"Settled",IF(AND(Q8&lt;&gt;"",Q8&gt;0),"Overdue","Open")))</f>
        <v>Overdue</v>
      </c>
      <c r="T8" s="59" t="s">
        <v>107</v>
      </c>
    </row>
    <row r="9" customFormat="false" ht="15" hidden="false" customHeight="false" outlineLevel="0" collapsed="false">
      <c r="A9" s="54" t="n">
        <f aca="false">IF(B9="","",ROW()-6)</f>
        <v>3</v>
      </c>
      <c r="B9" s="5" t="s">
        <v>140</v>
      </c>
      <c r="C9" s="55" t="n">
        <v>46234</v>
      </c>
      <c r="D9" s="55" t="n">
        <v>46264</v>
      </c>
      <c r="E9" s="5" t="s">
        <v>141</v>
      </c>
      <c r="F9" s="72" t="s">
        <v>22</v>
      </c>
      <c r="G9" s="73" t="n">
        <v>3800</v>
      </c>
      <c r="H9" s="74" t="n">
        <f aca="false">IF(B9="","",IFERROR(INDEX(Dashboard!$G$9:$G$12,MATCH(F9,Dashboard!$F$9:$F$12,0)),1))</f>
        <v>47.8</v>
      </c>
      <c r="I9" s="57" t="n">
        <f aca="false">IF(B9="","",G9*H9)</f>
        <v>181640</v>
      </c>
      <c r="J9" s="56"/>
      <c r="K9" s="56"/>
      <c r="L9" s="56"/>
      <c r="M9" s="56"/>
      <c r="N9" s="56"/>
      <c r="O9" s="57" t="n">
        <f aca="false">IF(B9="","",SUM(J9:N9))</f>
        <v>0</v>
      </c>
      <c r="P9" s="36" t="n">
        <f aca="false">IF(B9="","",I9-O9)</f>
        <v>181640</v>
      </c>
      <c r="Q9" s="54" t="n">
        <f aca="false">IF(OR(B9="",D9="",P9&lt;=0),"",MAX(0,Dashboard!$C$8-D9))</f>
        <v>1</v>
      </c>
      <c r="R9" s="75" t="str">
        <f aca="false">IF(OR(B9="",P9&lt;=0),"",IF(Q9=0,"Not due",IF(Q9&lt;=30,"1-30 days",IF(Q9&lt;=60,"31-60 days",IF(Q9&lt;=90,"61-90 days","90+ days")))))</f>
        <v>1-30 days</v>
      </c>
      <c r="S9" s="12" t="str">
        <f aca="false">IF(B9="","",IF(P9&lt;=0,"Settled",IF(AND(Q9&lt;&gt;"",Q9&gt;0),"Overdue","Open")))</f>
        <v>Overdue</v>
      </c>
      <c r="T9" s="5" t="s">
        <v>107</v>
      </c>
    </row>
    <row r="10" customFormat="false" ht="15" hidden="false" customHeight="false" outlineLevel="0" collapsed="false">
      <c r="A10" s="58" t="str">
        <f aca="false">IF(B10="","",ROW()-6)</f>
        <v/>
      </c>
      <c r="B10" s="59"/>
      <c r="C10" s="60"/>
      <c r="D10" s="60"/>
      <c r="E10" s="59"/>
      <c r="F10" s="76"/>
      <c r="G10" s="77"/>
      <c r="H10" s="78" t="str">
        <f aca="false">IF(B10="","",IFERROR(INDEX(Dashboard!$G$9:$G$12,MATCH(F10,Dashboard!$F$9:$F$12,0)),1))</f>
        <v/>
      </c>
      <c r="I10" s="62" t="str">
        <f aca="false">IF(B10="","",G10*H10)</f>
        <v/>
      </c>
      <c r="J10" s="61"/>
      <c r="K10" s="61"/>
      <c r="L10" s="61"/>
      <c r="M10" s="61"/>
      <c r="N10" s="61"/>
      <c r="O10" s="62" t="str">
        <f aca="false">IF(B10="","",SUM(J10:N10))</f>
        <v/>
      </c>
      <c r="P10" s="63" t="str">
        <f aca="false">IF(B10="","",I10-O10)</f>
        <v/>
      </c>
      <c r="Q10" s="58" t="str">
        <f aca="false">IF(OR(B10="",D10="",P10&lt;=0),"",MAX(0,Dashboard!$C$8-D10))</f>
        <v/>
      </c>
      <c r="R10" s="79" t="str">
        <f aca="false">IF(OR(B10="",P10&lt;=0),"",IF(Q10=0,"Not due",IF(Q10&lt;=30,"1-30 days",IF(Q10&lt;=60,"31-60 days",IF(Q10&lt;=90,"61-90 days","90+ days")))))</f>
        <v/>
      </c>
      <c r="S10" s="65" t="str">
        <f aca="false">IF(B10="","",IF(P10&lt;=0,"Settled",IF(AND(Q10&lt;&gt;"",Q10&gt;0),"Overdue","Open")))</f>
        <v/>
      </c>
      <c r="T10" s="59"/>
    </row>
    <row r="11" customFormat="false" ht="15" hidden="false" customHeight="false" outlineLevel="0" collapsed="false">
      <c r="A11" s="54" t="str">
        <f aca="false">IF(B11="","",ROW()-6)</f>
        <v/>
      </c>
      <c r="B11" s="5"/>
      <c r="C11" s="55"/>
      <c r="D11" s="55"/>
      <c r="E11" s="5"/>
      <c r="F11" s="72"/>
      <c r="G11" s="73"/>
      <c r="H11" s="74" t="str">
        <f aca="false">IF(B11="","",IFERROR(INDEX(Dashboard!$G$9:$G$12,MATCH(F11,Dashboard!$F$9:$F$12,0)),1))</f>
        <v/>
      </c>
      <c r="I11" s="57" t="str">
        <f aca="false">IF(B11="","",G11*H11)</f>
        <v/>
      </c>
      <c r="J11" s="56"/>
      <c r="K11" s="56"/>
      <c r="L11" s="56"/>
      <c r="M11" s="56"/>
      <c r="N11" s="56"/>
      <c r="O11" s="57" t="str">
        <f aca="false">IF(B11="","",SUM(J11:N11))</f>
        <v/>
      </c>
      <c r="P11" s="36" t="str">
        <f aca="false">IF(B11="","",I11-O11)</f>
        <v/>
      </c>
      <c r="Q11" s="54" t="str">
        <f aca="false">IF(OR(B11="",D11="",P11&lt;=0),"",MAX(0,Dashboard!$C$8-D11))</f>
        <v/>
      </c>
      <c r="R11" s="75" t="str">
        <f aca="false">IF(OR(B11="",P11&lt;=0),"",IF(Q11=0,"Not due",IF(Q11&lt;=30,"1-30 days",IF(Q11&lt;=60,"31-60 days",IF(Q11&lt;=90,"61-90 days","90+ days")))))</f>
        <v/>
      </c>
      <c r="S11" s="12" t="str">
        <f aca="false">IF(B11="","",IF(P11&lt;=0,"Settled",IF(AND(Q11&lt;&gt;"",Q11&gt;0),"Overdue","Open")))</f>
        <v/>
      </c>
      <c r="T11" s="5"/>
    </row>
    <row r="12" customFormat="false" ht="15" hidden="false" customHeight="false" outlineLevel="0" collapsed="false">
      <c r="A12" s="58" t="str">
        <f aca="false">IF(B12="","",ROW()-6)</f>
        <v/>
      </c>
      <c r="B12" s="59"/>
      <c r="C12" s="60"/>
      <c r="D12" s="60"/>
      <c r="E12" s="59"/>
      <c r="F12" s="76"/>
      <c r="G12" s="77"/>
      <c r="H12" s="78" t="str">
        <f aca="false">IF(B12="","",IFERROR(INDEX(Dashboard!$G$9:$G$12,MATCH(F12,Dashboard!$F$9:$F$12,0)),1))</f>
        <v/>
      </c>
      <c r="I12" s="62" t="str">
        <f aca="false">IF(B12="","",G12*H12)</f>
        <v/>
      </c>
      <c r="J12" s="61"/>
      <c r="K12" s="61"/>
      <c r="L12" s="61"/>
      <c r="M12" s="61"/>
      <c r="N12" s="61"/>
      <c r="O12" s="62" t="str">
        <f aca="false">IF(B12="","",SUM(J12:N12))</f>
        <v/>
      </c>
      <c r="P12" s="63" t="str">
        <f aca="false">IF(B12="","",I12-O12)</f>
        <v/>
      </c>
      <c r="Q12" s="58" t="str">
        <f aca="false">IF(OR(B12="",D12="",P12&lt;=0),"",MAX(0,Dashboard!$C$8-D12))</f>
        <v/>
      </c>
      <c r="R12" s="79" t="str">
        <f aca="false">IF(OR(B12="",P12&lt;=0),"",IF(Q12=0,"Not due",IF(Q12&lt;=30,"1-30 days",IF(Q12&lt;=60,"31-60 days",IF(Q12&lt;=90,"61-90 days","90+ days")))))</f>
        <v/>
      </c>
      <c r="S12" s="65" t="str">
        <f aca="false">IF(B12="","",IF(P12&lt;=0,"Settled",IF(AND(Q12&lt;&gt;"",Q12&gt;0),"Overdue","Open")))</f>
        <v/>
      </c>
      <c r="T12" s="59"/>
    </row>
    <row r="13" customFormat="false" ht="15" hidden="false" customHeight="false" outlineLevel="0" collapsed="false">
      <c r="A13" s="54" t="str">
        <f aca="false">IF(B13="","",ROW()-6)</f>
        <v/>
      </c>
      <c r="B13" s="5"/>
      <c r="C13" s="55"/>
      <c r="D13" s="55"/>
      <c r="E13" s="5"/>
      <c r="F13" s="72"/>
      <c r="G13" s="73"/>
      <c r="H13" s="74" t="str">
        <f aca="false">IF(B13="","",IFERROR(INDEX(Dashboard!$G$9:$G$12,MATCH(F13,Dashboard!$F$9:$F$12,0)),1))</f>
        <v/>
      </c>
      <c r="I13" s="57" t="str">
        <f aca="false">IF(B13="","",G13*H13)</f>
        <v/>
      </c>
      <c r="J13" s="56"/>
      <c r="K13" s="56"/>
      <c r="L13" s="56"/>
      <c r="M13" s="56"/>
      <c r="N13" s="56"/>
      <c r="O13" s="57" t="str">
        <f aca="false">IF(B13="","",SUM(J13:N13))</f>
        <v/>
      </c>
      <c r="P13" s="36" t="str">
        <f aca="false">IF(B13="","",I13-O13)</f>
        <v/>
      </c>
      <c r="Q13" s="54" t="str">
        <f aca="false">IF(OR(B13="",D13="",P13&lt;=0),"",MAX(0,Dashboard!$C$8-D13))</f>
        <v/>
      </c>
      <c r="R13" s="75" t="str">
        <f aca="false">IF(OR(B13="",P13&lt;=0),"",IF(Q13=0,"Not due",IF(Q13&lt;=30,"1-30 days",IF(Q13&lt;=60,"31-60 days",IF(Q13&lt;=90,"61-90 days","90+ days")))))</f>
        <v/>
      </c>
      <c r="S13" s="12" t="str">
        <f aca="false">IF(B13="","",IF(P13&lt;=0,"Settled",IF(AND(Q13&lt;&gt;"",Q13&gt;0),"Overdue","Open")))</f>
        <v/>
      </c>
      <c r="T13" s="5"/>
    </row>
    <row r="14" customFormat="false" ht="15" hidden="false" customHeight="false" outlineLevel="0" collapsed="false">
      <c r="A14" s="58" t="str">
        <f aca="false">IF(B14="","",ROW()-6)</f>
        <v/>
      </c>
      <c r="B14" s="59"/>
      <c r="C14" s="60"/>
      <c r="D14" s="60"/>
      <c r="E14" s="59"/>
      <c r="F14" s="76"/>
      <c r="G14" s="77"/>
      <c r="H14" s="78" t="str">
        <f aca="false">IF(B14="","",IFERROR(INDEX(Dashboard!$G$9:$G$12,MATCH(F14,Dashboard!$F$9:$F$12,0)),1))</f>
        <v/>
      </c>
      <c r="I14" s="62" t="str">
        <f aca="false">IF(B14="","",G14*H14)</f>
        <v/>
      </c>
      <c r="J14" s="61"/>
      <c r="K14" s="61"/>
      <c r="L14" s="61"/>
      <c r="M14" s="61"/>
      <c r="N14" s="61"/>
      <c r="O14" s="62" t="str">
        <f aca="false">IF(B14="","",SUM(J14:N14))</f>
        <v/>
      </c>
      <c r="P14" s="63" t="str">
        <f aca="false">IF(B14="","",I14-O14)</f>
        <v/>
      </c>
      <c r="Q14" s="58" t="str">
        <f aca="false">IF(OR(B14="",D14="",P14&lt;=0),"",MAX(0,Dashboard!$C$8-D14))</f>
        <v/>
      </c>
      <c r="R14" s="79" t="str">
        <f aca="false">IF(OR(B14="",P14&lt;=0),"",IF(Q14=0,"Not due",IF(Q14&lt;=30,"1-30 days",IF(Q14&lt;=60,"31-60 days",IF(Q14&lt;=90,"61-90 days","90+ days")))))</f>
        <v/>
      </c>
      <c r="S14" s="65" t="str">
        <f aca="false">IF(B14="","",IF(P14&lt;=0,"Settled",IF(AND(Q14&lt;&gt;"",Q14&gt;0),"Overdue","Open")))</f>
        <v/>
      </c>
      <c r="T14" s="59"/>
    </row>
    <row r="15" customFormat="false" ht="15" hidden="false" customHeight="false" outlineLevel="0" collapsed="false">
      <c r="A15" s="54" t="str">
        <f aca="false">IF(B15="","",ROW()-6)</f>
        <v/>
      </c>
      <c r="B15" s="5"/>
      <c r="C15" s="55"/>
      <c r="D15" s="55"/>
      <c r="E15" s="5"/>
      <c r="F15" s="72"/>
      <c r="G15" s="73"/>
      <c r="H15" s="74" t="str">
        <f aca="false">IF(B15="","",IFERROR(INDEX(Dashboard!$G$9:$G$12,MATCH(F15,Dashboard!$F$9:$F$12,0)),1))</f>
        <v/>
      </c>
      <c r="I15" s="57" t="str">
        <f aca="false">IF(B15="","",G15*H15)</f>
        <v/>
      </c>
      <c r="J15" s="56"/>
      <c r="K15" s="56"/>
      <c r="L15" s="56"/>
      <c r="M15" s="56"/>
      <c r="N15" s="56"/>
      <c r="O15" s="57" t="str">
        <f aca="false">IF(B15="","",SUM(J15:N15))</f>
        <v/>
      </c>
      <c r="P15" s="36" t="str">
        <f aca="false">IF(B15="","",I15-O15)</f>
        <v/>
      </c>
      <c r="Q15" s="54" t="str">
        <f aca="false">IF(OR(B15="",D15="",P15&lt;=0),"",MAX(0,Dashboard!$C$8-D15))</f>
        <v/>
      </c>
      <c r="R15" s="75" t="str">
        <f aca="false">IF(OR(B15="",P15&lt;=0),"",IF(Q15=0,"Not due",IF(Q15&lt;=30,"1-30 days",IF(Q15&lt;=60,"31-60 days",IF(Q15&lt;=90,"61-90 days","90+ days")))))</f>
        <v/>
      </c>
      <c r="S15" s="12" t="str">
        <f aca="false">IF(B15="","",IF(P15&lt;=0,"Settled",IF(AND(Q15&lt;&gt;"",Q15&gt;0),"Overdue","Open")))</f>
        <v/>
      </c>
      <c r="T15" s="5"/>
    </row>
    <row r="16" customFormat="false" ht="15" hidden="false" customHeight="false" outlineLevel="0" collapsed="false">
      <c r="A16" s="58" t="str">
        <f aca="false">IF(B16="","",ROW()-6)</f>
        <v/>
      </c>
      <c r="B16" s="59"/>
      <c r="C16" s="60"/>
      <c r="D16" s="60"/>
      <c r="E16" s="59"/>
      <c r="F16" s="76"/>
      <c r="G16" s="77"/>
      <c r="H16" s="78" t="str">
        <f aca="false">IF(B16="","",IFERROR(INDEX(Dashboard!$G$9:$G$12,MATCH(F16,Dashboard!$F$9:$F$12,0)),1))</f>
        <v/>
      </c>
      <c r="I16" s="62" t="str">
        <f aca="false">IF(B16="","",G16*H16)</f>
        <v/>
      </c>
      <c r="J16" s="61"/>
      <c r="K16" s="61"/>
      <c r="L16" s="61"/>
      <c r="M16" s="61"/>
      <c r="N16" s="61"/>
      <c r="O16" s="62" t="str">
        <f aca="false">IF(B16="","",SUM(J16:N16))</f>
        <v/>
      </c>
      <c r="P16" s="63" t="str">
        <f aca="false">IF(B16="","",I16-O16)</f>
        <v/>
      </c>
      <c r="Q16" s="58" t="str">
        <f aca="false">IF(OR(B16="",D16="",P16&lt;=0),"",MAX(0,Dashboard!$C$8-D16))</f>
        <v/>
      </c>
      <c r="R16" s="79" t="str">
        <f aca="false">IF(OR(B16="",P16&lt;=0),"",IF(Q16=0,"Not due",IF(Q16&lt;=30,"1-30 days",IF(Q16&lt;=60,"31-60 days",IF(Q16&lt;=90,"61-90 days","90+ days")))))</f>
        <v/>
      </c>
      <c r="S16" s="65" t="str">
        <f aca="false">IF(B16="","",IF(P16&lt;=0,"Settled",IF(AND(Q16&lt;&gt;"",Q16&gt;0),"Overdue","Open")))</f>
        <v/>
      </c>
      <c r="T16" s="59"/>
    </row>
    <row r="17" customFormat="false" ht="15" hidden="false" customHeight="false" outlineLevel="0" collapsed="false">
      <c r="A17" s="54" t="str">
        <f aca="false">IF(B17="","",ROW()-6)</f>
        <v/>
      </c>
      <c r="B17" s="5"/>
      <c r="C17" s="55"/>
      <c r="D17" s="55"/>
      <c r="E17" s="5"/>
      <c r="F17" s="72"/>
      <c r="G17" s="73"/>
      <c r="H17" s="74" t="str">
        <f aca="false">IF(B17="","",IFERROR(INDEX(Dashboard!$G$9:$G$12,MATCH(F17,Dashboard!$F$9:$F$12,0)),1))</f>
        <v/>
      </c>
      <c r="I17" s="57" t="str">
        <f aca="false">IF(B17="","",G17*H17)</f>
        <v/>
      </c>
      <c r="J17" s="56"/>
      <c r="K17" s="56"/>
      <c r="L17" s="56"/>
      <c r="M17" s="56"/>
      <c r="N17" s="56"/>
      <c r="O17" s="57" t="str">
        <f aca="false">IF(B17="","",SUM(J17:N17))</f>
        <v/>
      </c>
      <c r="P17" s="36" t="str">
        <f aca="false">IF(B17="","",I17-O17)</f>
        <v/>
      </c>
      <c r="Q17" s="54" t="str">
        <f aca="false">IF(OR(B17="",D17="",P17&lt;=0),"",MAX(0,Dashboard!$C$8-D17))</f>
        <v/>
      </c>
      <c r="R17" s="75" t="str">
        <f aca="false">IF(OR(B17="",P17&lt;=0),"",IF(Q17=0,"Not due",IF(Q17&lt;=30,"1-30 days",IF(Q17&lt;=60,"31-60 days",IF(Q17&lt;=90,"61-90 days","90+ days")))))</f>
        <v/>
      </c>
      <c r="S17" s="12" t="str">
        <f aca="false">IF(B17="","",IF(P17&lt;=0,"Settled",IF(AND(Q17&lt;&gt;"",Q17&gt;0),"Overdue","Open")))</f>
        <v/>
      </c>
      <c r="T17" s="5"/>
    </row>
    <row r="18" customFormat="false" ht="15" hidden="false" customHeight="false" outlineLevel="0" collapsed="false">
      <c r="A18" s="58" t="str">
        <f aca="false">IF(B18="","",ROW()-6)</f>
        <v/>
      </c>
      <c r="B18" s="59"/>
      <c r="C18" s="60"/>
      <c r="D18" s="60"/>
      <c r="E18" s="59"/>
      <c r="F18" s="76"/>
      <c r="G18" s="77"/>
      <c r="H18" s="78" t="str">
        <f aca="false">IF(B18="","",IFERROR(INDEX(Dashboard!$G$9:$G$12,MATCH(F18,Dashboard!$F$9:$F$12,0)),1))</f>
        <v/>
      </c>
      <c r="I18" s="62" t="str">
        <f aca="false">IF(B18="","",G18*H18)</f>
        <v/>
      </c>
      <c r="J18" s="61"/>
      <c r="K18" s="61"/>
      <c r="L18" s="61"/>
      <c r="M18" s="61"/>
      <c r="N18" s="61"/>
      <c r="O18" s="62" t="str">
        <f aca="false">IF(B18="","",SUM(J18:N18))</f>
        <v/>
      </c>
      <c r="P18" s="63" t="str">
        <f aca="false">IF(B18="","",I18-O18)</f>
        <v/>
      </c>
      <c r="Q18" s="58" t="str">
        <f aca="false">IF(OR(B18="",D18="",P18&lt;=0),"",MAX(0,Dashboard!$C$8-D18))</f>
        <v/>
      </c>
      <c r="R18" s="79" t="str">
        <f aca="false">IF(OR(B18="",P18&lt;=0),"",IF(Q18=0,"Not due",IF(Q18&lt;=30,"1-30 days",IF(Q18&lt;=60,"31-60 days",IF(Q18&lt;=90,"61-90 days","90+ days")))))</f>
        <v/>
      </c>
      <c r="S18" s="65" t="str">
        <f aca="false">IF(B18="","",IF(P18&lt;=0,"Settled",IF(AND(Q18&lt;&gt;"",Q18&gt;0),"Overdue","Open")))</f>
        <v/>
      </c>
      <c r="T18" s="59"/>
    </row>
    <row r="19" customFormat="false" ht="15" hidden="false" customHeight="false" outlineLevel="0" collapsed="false">
      <c r="A19" s="54" t="str">
        <f aca="false">IF(B19="","",ROW()-6)</f>
        <v/>
      </c>
      <c r="B19" s="5"/>
      <c r="C19" s="55"/>
      <c r="D19" s="55"/>
      <c r="E19" s="5"/>
      <c r="F19" s="72"/>
      <c r="G19" s="73"/>
      <c r="H19" s="74" t="str">
        <f aca="false">IF(B19="","",IFERROR(INDEX(Dashboard!$G$9:$G$12,MATCH(F19,Dashboard!$F$9:$F$12,0)),1))</f>
        <v/>
      </c>
      <c r="I19" s="57" t="str">
        <f aca="false">IF(B19="","",G19*H19)</f>
        <v/>
      </c>
      <c r="J19" s="56"/>
      <c r="K19" s="56"/>
      <c r="L19" s="56"/>
      <c r="M19" s="56"/>
      <c r="N19" s="56"/>
      <c r="O19" s="57" t="str">
        <f aca="false">IF(B19="","",SUM(J19:N19))</f>
        <v/>
      </c>
      <c r="P19" s="36" t="str">
        <f aca="false">IF(B19="","",I19-O19)</f>
        <v/>
      </c>
      <c r="Q19" s="54" t="str">
        <f aca="false">IF(OR(B19="",D19="",P19&lt;=0),"",MAX(0,Dashboard!$C$8-D19))</f>
        <v/>
      </c>
      <c r="R19" s="75" t="str">
        <f aca="false">IF(OR(B19="",P19&lt;=0),"",IF(Q19=0,"Not due",IF(Q19&lt;=30,"1-30 days",IF(Q19&lt;=60,"31-60 days",IF(Q19&lt;=90,"61-90 days","90+ days")))))</f>
        <v/>
      </c>
      <c r="S19" s="12" t="str">
        <f aca="false">IF(B19="","",IF(P19&lt;=0,"Settled",IF(AND(Q19&lt;&gt;"",Q19&gt;0),"Overdue","Open")))</f>
        <v/>
      </c>
      <c r="T19" s="5"/>
    </row>
    <row r="20" customFormat="false" ht="15" hidden="false" customHeight="false" outlineLevel="0" collapsed="false">
      <c r="A20" s="58" t="str">
        <f aca="false">IF(B20="","",ROW()-6)</f>
        <v/>
      </c>
      <c r="B20" s="59"/>
      <c r="C20" s="60"/>
      <c r="D20" s="60"/>
      <c r="E20" s="59"/>
      <c r="F20" s="76"/>
      <c r="G20" s="77"/>
      <c r="H20" s="78" t="str">
        <f aca="false">IF(B20="","",IFERROR(INDEX(Dashboard!$G$9:$G$12,MATCH(F20,Dashboard!$F$9:$F$12,0)),1))</f>
        <v/>
      </c>
      <c r="I20" s="62" t="str">
        <f aca="false">IF(B20="","",G20*H20)</f>
        <v/>
      </c>
      <c r="J20" s="61"/>
      <c r="K20" s="61"/>
      <c r="L20" s="61"/>
      <c r="M20" s="61"/>
      <c r="N20" s="61"/>
      <c r="O20" s="62" t="str">
        <f aca="false">IF(B20="","",SUM(J20:N20))</f>
        <v/>
      </c>
      <c r="P20" s="63" t="str">
        <f aca="false">IF(B20="","",I20-O20)</f>
        <v/>
      </c>
      <c r="Q20" s="58" t="str">
        <f aca="false">IF(OR(B20="",D20="",P20&lt;=0),"",MAX(0,Dashboard!$C$8-D20))</f>
        <v/>
      </c>
      <c r="R20" s="79" t="str">
        <f aca="false">IF(OR(B20="",P20&lt;=0),"",IF(Q20=0,"Not due",IF(Q20&lt;=30,"1-30 days",IF(Q20&lt;=60,"31-60 days",IF(Q20&lt;=90,"61-90 days","90+ days")))))</f>
        <v/>
      </c>
      <c r="S20" s="65" t="str">
        <f aca="false">IF(B20="","",IF(P20&lt;=0,"Settled",IF(AND(Q20&lt;&gt;"",Q20&gt;0),"Overdue","Open")))</f>
        <v/>
      </c>
      <c r="T20" s="59"/>
    </row>
    <row r="21" customFormat="false" ht="15" hidden="false" customHeight="false" outlineLevel="0" collapsed="false">
      <c r="A21" s="54" t="str">
        <f aca="false">IF(B21="","",ROW()-6)</f>
        <v/>
      </c>
      <c r="B21" s="5"/>
      <c r="C21" s="55"/>
      <c r="D21" s="55"/>
      <c r="E21" s="5"/>
      <c r="F21" s="72"/>
      <c r="G21" s="73"/>
      <c r="H21" s="74" t="str">
        <f aca="false">IF(B21="","",IFERROR(INDEX(Dashboard!$G$9:$G$12,MATCH(F21,Dashboard!$F$9:$F$12,0)),1))</f>
        <v/>
      </c>
      <c r="I21" s="57" t="str">
        <f aca="false">IF(B21="","",G21*H21)</f>
        <v/>
      </c>
      <c r="J21" s="56"/>
      <c r="K21" s="56"/>
      <c r="L21" s="56"/>
      <c r="M21" s="56"/>
      <c r="N21" s="56"/>
      <c r="O21" s="57" t="str">
        <f aca="false">IF(B21="","",SUM(J21:N21))</f>
        <v/>
      </c>
      <c r="P21" s="36" t="str">
        <f aca="false">IF(B21="","",I21-O21)</f>
        <v/>
      </c>
      <c r="Q21" s="54" t="str">
        <f aca="false">IF(OR(B21="",D21="",P21&lt;=0),"",MAX(0,Dashboard!$C$8-D21))</f>
        <v/>
      </c>
      <c r="R21" s="75" t="str">
        <f aca="false">IF(OR(B21="",P21&lt;=0),"",IF(Q21=0,"Not due",IF(Q21&lt;=30,"1-30 days",IF(Q21&lt;=60,"31-60 days",IF(Q21&lt;=90,"61-90 days","90+ days")))))</f>
        <v/>
      </c>
      <c r="S21" s="12" t="str">
        <f aca="false">IF(B21="","",IF(P21&lt;=0,"Settled",IF(AND(Q21&lt;&gt;"",Q21&gt;0),"Overdue","Open")))</f>
        <v/>
      </c>
      <c r="T21" s="5"/>
    </row>
    <row r="22" customFormat="false" ht="15" hidden="false" customHeight="false" outlineLevel="0" collapsed="false">
      <c r="A22" s="58" t="str">
        <f aca="false">IF(B22="","",ROW()-6)</f>
        <v/>
      </c>
      <c r="B22" s="59"/>
      <c r="C22" s="60"/>
      <c r="D22" s="60"/>
      <c r="E22" s="59"/>
      <c r="F22" s="76"/>
      <c r="G22" s="77"/>
      <c r="H22" s="78" t="str">
        <f aca="false">IF(B22="","",IFERROR(INDEX(Dashboard!$G$9:$G$12,MATCH(F22,Dashboard!$F$9:$F$12,0)),1))</f>
        <v/>
      </c>
      <c r="I22" s="62" t="str">
        <f aca="false">IF(B22="","",G22*H22)</f>
        <v/>
      </c>
      <c r="J22" s="61"/>
      <c r="K22" s="61"/>
      <c r="L22" s="61"/>
      <c r="M22" s="61"/>
      <c r="N22" s="61"/>
      <c r="O22" s="62" t="str">
        <f aca="false">IF(B22="","",SUM(J22:N22))</f>
        <v/>
      </c>
      <c r="P22" s="63" t="str">
        <f aca="false">IF(B22="","",I22-O22)</f>
        <v/>
      </c>
      <c r="Q22" s="58" t="str">
        <f aca="false">IF(OR(B22="",D22="",P22&lt;=0),"",MAX(0,Dashboard!$C$8-D22))</f>
        <v/>
      </c>
      <c r="R22" s="79" t="str">
        <f aca="false">IF(OR(B22="",P22&lt;=0),"",IF(Q22=0,"Not due",IF(Q22&lt;=30,"1-30 days",IF(Q22&lt;=60,"31-60 days",IF(Q22&lt;=90,"61-90 days","90+ days")))))</f>
        <v/>
      </c>
      <c r="S22" s="65" t="str">
        <f aca="false">IF(B22="","",IF(P22&lt;=0,"Settled",IF(AND(Q22&lt;&gt;"",Q22&gt;0),"Overdue","Open")))</f>
        <v/>
      </c>
      <c r="T22" s="59"/>
    </row>
    <row r="23" customFormat="false" ht="15" hidden="false" customHeight="false" outlineLevel="0" collapsed="false">
      <c r="A23" s="54" t="str">
        <f aca="false">IF(B23="","",ROW()-6)</f>
        <v/>
      </c>
      <c r="B23" s="5"/>
      <c r="C23" s="55"/>
      <c r="D23" s="55"/>
      <c r="E23" s="5"/>
      <c r="F23" s="72"/>
      <c r="G23" s="73"/>
      <c r="H23" s="74" t="str">
        <f aca="false">IF(B23="","",IFERROR(INDEX(Dashboard!$G$9:$G$12,MATCH(F23,Dashboard!$F$9:$F$12,0)),1))</f>
        <v/>
      </c>
      <c r="I23" s="57" t="str">
        <f aca="false">IF(B23="","",G23*H23)</f>
        <v/>
      </c>
      <c r="J23" s="56"/>
      <c r="K23" s="56"/>
      <c r="L23" s="56"/>
      <c r="M23" s="56"/>
      <c r="N23" s="56"/>
      <c r="O23" s="57" t="str">
        <f aca="false">IF(B23="","",SUM(J23:N23))</f>
        <v/>
      </c>
      <c r="P23" s="36" t="str">
        <f aca="false">IF(B23="","",I23-O23)</f>
        <v/>
      </c>
      <c r="Q23" s="54" t="str">
        <f aca="false">IF(OR(B23="",D23="",P23&lt;=0),"",MAX(0,Dashboard!$C$8-D23))</f>
        <v/>
      </c>
      <c r="R23" s="75" t="str">
        <f aca="false">IF(OR(B23="",P23&lt;=0),"",IF(Q23=0,"Not due",IF(Q23&lt;=30,"1-30 days",IF(Q23&lt;=60,"31-60 days",IF(Q23&lt;=90,"61-90 days","90+ days")))))</f>
        <v/>
      </c>
      <c r="S23" s="12" t="str">
        <f aca="false">IF(B23="","",IF(P23&lt;=0,"Settled",IF(AND(Q23&lt;&gt;"",Q23&gt;0),"Overdue","Open")))</f>
        <v/>
      </c>
      <c r="T23" s="5"/>
    </row>
    <row r="24" customFormat="false" ht="15" hidden="false" customHeight="false" outlineLevel="0" collapsed="false">
      <c r="A24" s="58" t="str">
        <f aca="false">IF(B24="","",ROW()-6)</f>
        <v/>
      </c>
      <c r="B24" s="59"/>
      <c r="C24" s="60"/>
      <c r="D24" s="60"/>
      <c r="E24" s="59"/>
      <c r="F24" s="76"/>
      <c r="G24" s="77"/>
      <c r="H24" s="78" t="str">
        <f aca="false">IF(B24="","",IFERROR(INDEX(Dashboard!$G$9:$G$12,MATCH(F24,Dashboard!$F$9:$F$12,0)),1))</f>
        <v/>
      </c>
      <c r="I24" s="62" t="str">
        <f aca="false">IF(B24="","",G24*H24)</f>
        <v/>
      </c>
      <c r="J24" s="61"/>
      <c r="K24" s="61"/>
      <c r="L24" s="61"/>
      <c r="M24" s="61"/>
      <c r="N24" s="61"/>
      <c r="O24" s="62" t="str">
        <f aca="false">IF(B24="","",SUM(J24:N24))</f>
        <v/>
      </c>
      <c r="P24" s="63" t="str">
        <f aca="false">IF(B24="","",I24-O24)</f>
        <v/>
      </c>
      <c r="Q24" s="58" t="str">
        <f aca="false">IF(OR(B24="",D24="",P24&lt;=0),"",MAX(0,Dashboard!$C$8-D24))</f>
        <v/>
      </c>
      <c r="R24" s="79" t="str">
        <f aca="false">IF(OR(B24="",P24&lt;=0),"",IF(Q24=0,"Not due",IF(Q24&lt;=30,"1-30 days",IF(Q24&lt;=60,"31-60 days",IF(Q24&lt;=90,"61-90 days","90+ days")))))</f>
        <v/>
      </c>
      <c r="S24" s="65" t="str">
        <f aca="false">IF(B24="","",IF(P24&lt;=0,"Settled",IF(AND(Q24&lt;&gt;"",Q24&gt;0),"Overdue","Open")))</f>
        <v/>
      </c>
      <c r="T24" s="59"/>
    </row>
    <row r="25" customFormat="false" ht="15" hidden="false" customHeight="false" outlineLevel="0" collapsed="false">
      <c r="A25" s="54" t="str">
        <f aca="false">IF(B25="","",ROW()-6)</f>
        <v/>
      </c>
      <c r="B25" s="5"/>
      <c r="C25" s="55"/>
      <c r="D25" s="55"/>
      <c r="E25" s="5"/>
      <c r="F25" s="72"/>
      <c r="G25" s="73"/>
      <c r="H25" s="74" t="str">
        <f aca="false">IF(B25="","",IFERROR(INDEX(Dashboard!$G$9:$G$12,MATCH(F25,Dashboard!$F$9:$F$12,0)),1))</f>
        <v/>
      </c>
      <c r="I25" s="57" t="str">
        <f aca="false">IF(B25="","",G25*H25)</f>
        <v/>
      </c>
      <c r="J25" s="56"/>
      <c r="K25" s="56"/>
      <c r="L25" s="56"/>
      <c r="M25" s="56"/>
      <c r="N25" s="56"/>
      <c r="O25" s="57" t="str">
        <f aca="false">IF(B25="","",SUM(J25:N25))</f>
        <v/>
      </c>
      <c r="P25" s="36" t="str">
        <f aca="false">IF(B25="","",I25-O25)</f>
        <v/>
      </c>
      <c r="Q25" s="54" t="str">
        <f aca="false">IF(OR(B25="",D25="",P25&lt;=0),"",MAX(0,Dashboard!$C$8-D25))</f>
        <v/>
      </c>
      <c r="R25" s="75" t="str">
        <f aca="false">IF(OR(B25="",P25&lt;=0),"",IF(Q25=0,"Not due",IF(Q25&lt;=30,"1-30 days",IF(Q25&lt;=60,"31-60 days",IF(Q25&lt;=90,"61-90 days","90+ days")))))</f>
        <v/>
      </c>
      <c r="S25" s="12" t="str">
        <f aca="false">IF(B25="","",IF(P25&lt;=0,"Settled",IF(AND(Q25&lt;&gt;"",Q25&gt;0),"Overdue","Open")))</f>
        <v/>
      </c>
      <c r="T25" s="5"/>
    </row>
    <row r="26" customFormat="false" ht="15" hidden="false" customHeight="false" outlineLevel="0" collapsed="false">
      <c r="A26" s="58" t="str">
        <f aca="false">IF(B26="","",ROW()-6)</f>
        <v/>
      </c>
      <c r="B26" s="59"/>
      <c r="C26" s="60"/>
      <c r="D26" s="60"/>
      <c r="E26" s="59"/>
      <c r="F26" s="76"/>
      <c r="G26" s="77"/>
      <c r="H26" s="78" t="str">
        <f aca="false">IF(B26="","",IFERROR(INDEX(Dashboard!$G$9:$G$12,MATCH(F26,Dashboard!$F$9:$F$12,0)),1))</f>
        <v/>
      </c>
      <c r="I26" s="62" t="str">
        <f aca="false">IF(B26="","",G26*H26)</f>
        <v/>
      </c>
      <c r="J26" s="61"/>
      <c r="K26" s="61"/>
      <c r="L26" s="61"/>
      <c r="M26" s="61"/>
      <c r="N26" s="61"/>
      <c r="O26" s="62" t="str">
        <f aca="false">IF(B26="","",SUM(J26:N26))</f>
        <v/>
      </c>
      <c r="P26" s="63" t="str">
        <f aca="false">IF(B26="","",I26-O26)</f>
        <v/>
      </c>
      <c r="Q26" s="58" t="str">
        <f aca="false">IF(OR(B26="",D26="",P26&lt;=0),"",MAX(0,Dashboard!$C$8-D26))</f>
        <v/>
      </c>
      <c r="R26" s="79" t="str">
        <f aca="false">IF(OR(B26="",P26&lt;=0),"",IF(Q26=0,"Not due",IF(Q26&lt;=30,"1-30 days",IF(Q26&lt;=60,"31-60 days",IF(Q26&lt;=90,"61-90 days","90+ days")))))</f>
        <v/>
      </c>
      <c r="S26" s="65" t="str">
        <f aca="false">IF(B26="","",IF(P26&lt;=0,"Settled",IF(AND(Q26&lt;&gt;"",Q26&gt;0),"Overdue","Open")))</f>
        <v/>
      </c>
      <c r="T26" s="59"/>
    </row>
    <row r="27" customFormat="false" ht="15" hidden="false" customHeight="false" outlineLevel="0" collapsed="false">
      <c r="A27" s="54" t="str">
        <f aca="false">IF(B27="","",ROW()-6)</f>
        <v/>
      </c>
      <c r="B27" s="5"/>
      <c r="C27" s="55"/>
      <c r="D27" s="55"/>
      <c r="E27" s="5"/>
      <c r="F27" s="72"/>
      <c r="G27" s="73"/>
      <c r="H27" s="74" t="str">
        <f aca="false">IF(B27="","",IFERROR(INDEX(Dashboard!$G$9:$G$12,MATCH(F27,Dashboard!$F$9:$F$12,0)),1))</f>
        <v/>
      </c>
      <c r="I27" s="57" t="str">
        <f aca="false">IF(B27="","",G27*H27)</f>
        <v/>
      </c>
      <c r="J27" s="56"/>
      <c r="K27" s="56"/>
      <c r="L27" s="56"/>
      <c r="M27" s="56"/>
      <c r="N27" s="56"/>
      <c r="O27" s="57" t="str">
        <f aca="false">IF(B27="","",SUM(J27:N27))</f>
        <v/>
      </c>
      <c r="P27" s="36" t="str">
        <f aca="false">IF(B27="","",I27-O27)</f>
        <v/>
      </c>
      <c r="Q27" s="54" t="str">
        <f aca="false">IF(OR(B27="",D27="",P27&lt;=0),"",MAX(0,Dashboard!$C$8-D27))</f>
        <v/>
      </c>
      <c r="R27" s="75" t="str">
        <f aca="false">IF(OR(B27="",P27&lt;=0),"",IF(Q27=0,"Not due",IF(Q27&lt;=30,"1-30 days",IF(Q27&lt;=60,"31-60 days",IF(Q27&lt;=90,"61-90 days","90+ days")))))</f>
        <v/>
      </c>
      <c r="S27" s="12" t="str">
        <f aca="false">IF(B27="","",IF(P27&lt;=0,"Settled",IF(AND(Q27&lt;&gt;"",Q27&gt;0),"Overdue","Open")))</f>
        <v/>
      </c>
      <c r="T27" s="5"/>
    </row>
    <row r="28" customFormat="false" ht="15" hidden="false" customHeight="false" outlineLevel="0" collapsed="false">
      <c r="A28" s="58" t="str">
        <f aca="false">IF(B28="","",ROW()-6)</f>
        <v/>
      </c>
      <c r="B28" s="59"/>
      <c r="C28" s="60"/>
      <c r="D28" s="60"/>
      <c r="E28" s="59"/>
      <c r="F28" s="76"/>
      <c r="G28" s="77"/>
      <c r="H28" s="78" t="str">
        <f aca="false">IF(B28="","",IFERROR(INDEX(Dashboard!$G$9:$G$12,MATCH(F28,Dashboard!$F$9:$F$12,0)),1))</f>
        <v/>
      </c>
      <c r="I28" s="62" t="str">
        <f aca="false">IF(B28="","",G28*H28)</f>
        <v/>
      </c>
      <c r="J28" s="61"/>
      <c r="K28" s="61"/>
      <c r="L28" s="61"/>
      <c r="M28" s="61"/>
      <c r="N28" s="61"/>
      <c r="O28" s="62" t="str">
        <f aca="false">IF(B28="","",SUM(J28:N28))</f>
        <v/>
      </c>
      <c r="P28" s="63" t="str">
        <f aca="false">IF(B28="","",I28-O28)</f>
        <v/>
      </c>
      <c r="Q28" s="58" t="str">
        <f aca="false">IF(OR(B28="",D28="",P28&lt;=0),"",MAX(0,Dashboard!$C$8-D28))</f>
        <v/>
      </c>
      <c r="R28" s="79" t="str">
        <f aca="false">IF(OR(B28="",P28&lt;=0),"",IF(Q28=0,"Not due",IF(Q28&lt;=30,"1-30 days",IF(Q28&lt;=60,"31-60 days",IF(Q28&lt;=90,"61-90 days","90+ days")))))</f>
        <v/>
      </c>
      <c r="S28" s="65" t="str">
        <f aca="false">IF(B28="","",IF(P28&lt;=0,"Settled",IF(AND(Q28&lt;&gt;"",Q28&gt;0),"Overdue","Open")))</f>
        <v/>
      </c>
      <c r="T28" s="59"/>
    </row>
    <row r="29" customFormat="false" ht="15" hidden="false" customHeight="false" outlineLevel="0" collapsed="false">
      <c r="A29" s="54" t="str">
        <f aca="false">IF(B29="","",ROW()-6)</f>
        <v/>
      </c>
      <c r="B29" s="5"/>
      <c r="C29" s="55"/>
      <c r="D29" s="55"/>
      <c r="E29" s="5"/>
      <c r="F29" s="72"/>
      <c r="G29" s="73"/>
      <c r="H29" s="74" t="str">
        <f aca="false">IF(B29="","",IFERROR(INDEX(Dashboard!$G$9:$G$12,MATCH(F29,Dashboard!$F$9:$F$12,0)),1))</f>
        <v/>
      </c>
      <c r="I29" s="57" t="str">
        <f aca="false">IF(B29="","",G29*H29)</f>
        <v/>
      </c>
      <c r="J29" s="56"/>
      <c r="K29" s="56"/>
      <c r="L29" s="56"/>
      <c r="M29" s="56"/>
      <c r="N29" s="56"/>
      <c r="O29" s="57" t="str">
        <f aca="false">IF(B29="","",SUM(J29:N29))</f>
        <v/>
      </c>
      <c r="P29" s="36" t="str">
        <f aca="false">IF(B29="","",I29-O29)</f>
        <v/>
      </c>
      <c r="Q29" s="54" t="str">
        <f aca="false">IF(OR(B29="",D29="",P29&lt;=0),"",MAX(0,Dashboard!$C$8-D29))</f>
        <v/>
      </c>
      <c r="R29" s="75" t="str">
        <f aca="false">IF(OR(B29="",P29&lt;=0),"",IF(Q29=0,"Not due",IF(Q29&lt;=30,"1-30 days",IF(Q29&lt;=60,"31-60 days",IF(Q29&lt;=90,"61-90 days","90+ days")))))</f>
        <v/>
      </c>
      <c r="S29" s="12" t="str">
        <f aca="false">IF(B29="","",IF(P29&lt;=0,"Settled",IF(AND(Q29&lt;&gt;"",Q29&gt;0),"Overdue","Open")))</f>
        <v/>
      </c>
      <c r="T29" s="5"/>
    </row>
    <row r="30" customFormat="false" ht="15" hidden="false" customHeight="false" outlineLevel="0" collapsed="false">
      <c r="A30" s="58" t="str">
        <f aca="false">IF(B30="","",ROW()-6)</f>
        <v/>
      </c>
      <c r="B30" s="59"/>
      <c r="C30" s="60"/>
      <c r="D30" s="60"/>
      <c r="E30" s="59"/>
      <c r="F30" s="76"/>
      <c r="G30" s="77"/>
      <c r="H30" s="78" t="str">
        <f aca="false">IF(B30="","",IFERROR(INDEX(Dashboard!$G$9:$G$12,MATCH(F30,Dashboard!$F$9:$F$12,0)),1))</f>
        <v/>
      </c>
      <c r="I30" s="62" t="str">
        <f aca="false">IF(B30="","",G30*H30)</f>
        <v/>
      </c>
      <c r="J30" s="61"/>
      <c r="K30" s="61"/>
      <c r="L30" s="61"/>
      <c r="M30" s="61"/>
      <c r="N30" s="61"/>
      <c r="O30" s="62" t="str">
        <f aca="false">IF(B30="","",SUM(J30:N30))</f>
        <v/>
      </c>
      <c r="P30" s="63" t="str">
        <f aca="false">IF(B30="","",I30-O30)</f>
        <v/>
      </c>
      <c r="Q30" s="58" t="str">
        <f aca="false">IF(OR(B30="",D30="",P30&lt;=0),"",MAX(0,Dashboard!$C$8-D30))</f>
        <v/>
      </c>
      <c r="R30" s="79" t="str">
        <f aca="false">IF(OR(B30="",P30&lt;=0),"",IF(Q30=0,"Not due",IF(Q30&lt;=30,"1-30 days",IF(Q30&lt;=60,"31-60 days",IF(Q30&lt;=90,"61-90 days","90+ days")))))</f>
        <v/>
      </c>
      <c r="S30" s="65" t="str">
        <f aca="false">IF(B30="","",IF(P30&lt;=0,"Settled",IF(AND(Q30&lt;&gt;"",Q30&gt;0),"Overdue","Open")))</f>
        <v/>
      </c>
      <c r="T30" s="59"/>
    </row>
    <row r="31" customFormat="false" ht="15" hidden="false" customHeight="false" outlineLevel="0" collapsed="false">
      <c r="A31" s="54" t="str">
        <f aca="false">IF(B31="","",ROW()-6)</f>
        <v/>
      </c>
      <c r="B31" s="5"/>
      <c r="C31" s="55"/>
      <c r="D31" s="55"/>
      <c r="E31" s="5"/>
      <c r="F31" s="72"/>
      <c r="G31" s="73"/>
      <c r="H31" s="74" t="str">
        <f aca="false">IF(B31="","",IFERROR(INDEX(Dashboard!$G$9:$G$12,MATCH(F31,Dashboard!$F$9:$F$12,0)),1))</f>
        <v/>
      </c>
      <c r="I31" s="57" t="str">
        <f aca="false">IF(B31="","",G31*H31)</f>
        <v/>
      </c>
      <c r="J31" s="56"/>
      <c r="K31" s="56"/>
      <c r="L31" s="56"/>
      <c r="M31" s="56"/>
      <c r="N31" s="56"/>
      <c r="O31" s="57" t="str">
        <f aca="false">IF(B31="","",SUM(J31:N31))</f>
        <v/>
      </c>
      <c r="P31" s="36" t="str">
        <f aca="false">IF(B31="","",I31-O31)</f>
        <v/>
      </c>
      <c r="Q31" s="54" t="str">
        <f aca="false">IF(OR(B31="",D31="",P31&lt;=0),"",MAX(0,Dashboard!$C$8-D31))</f>
        <v/>
      </c>
      <c r="R31" s="75" t="str">
        <f aca="false">IF(OR(B31="",P31&lt;=0),"",IF(Q31=0,"Not due",IF(Q31&lt;=30,"1-30 days",IF(Q31&lt;=60,"31-60 days",IF(Q31&lt;=90,"61-90 days","90+ days")))))</f>
        <v/>
      </c>
      <c r="S31" s="12" t="str">
        <f aca="false">IF(B31="","",IF(P31&lt;=0,"Settled",IF(AND(Q31&lt;&gt;"",Q31&gt;0),"Overdue","Open")))</f>
        <v/>
      </c>
      <c r="T31" s="5"/>
    </row>
    <row r="32" customFormat="false" ht="15" hidden="false" customHeight="false" outlineLevel="0" collapsed="false">
      <c r="A32" s="58" t="str">
        <f aca="false">IF(B32="","",ROW()-6)</f>
        <v/>
      </c>
      <c r="B32" s="59"/>
      <c r="C32" s="60"/>
      <c r="D32" s="60"/>
      <c r="E32" s="59"/>
      <c r="F32" s="76"/>
      <c r="G32" s="77"/>
      <c r="H32" s="78" t="str">
        <f aca="false">IF(B32="","",IFERROR(INDEX(Dashboard!$G$9:$G$12,MATCH(F32,Dashboard!$F$9:$F$12,0)),1))</f>
        <v/>
      </c>
      <c r="I32" s="62" t="str">
        <f aca="false">IF(B32="","",G32*H32)</f>
        <v/>
      </c>
      <c r="J32" s="61"/>
      <c r="K32" s="61"/>
      <c r="L32" s="61"/>
      <c r="M32" s="61"/>
      <c r="N32" s="61"/>
      <c r="O32" s="62" t="str">
        <f aca="false">IF(B32="","",SUM(J32:N32))</f>
        <v/>
      </c>
      <c r="P32" s="63" t="str">
        <f aca="false">IF(B32="","",I32-O32)</f>
        <v/>
      </c>
      <c r="Q32" s="58" t="str">
        <f aca="false">IF(OR(B32="",D32="",P32&lt;=0),"",MAX(0,Dashboard!$C$8-D32))</f>
        <v/>
      </c>
      <c r="R32" s="79" t="str">
        <f aca="false">IF(OR(B32="",P32&lt;=0),"",IF(Q32=0,"Not due",IF(Q32&lt;=30,"1-30 days",IF(Q32&lt;=60,"31-60 days",IF(Q32&lt;=90,"61-90 days","90+ days")))))</f>
        <v/>
      </c>
      <c r="S32" s="65" t="str">
        <f aca="false">IF(B32="","",IF(P32&lt;=0,"Settled",IF(AND(Q32&lt;&gt;"",Q32&gt;0),"Overdue","Open")))</f>
        <v/>
      </c>
      <c r="T32" s="59"/>
    </row>
    <row r="33" customFormat="false" ht="15" hidden="false" customHeight="false" outlineLevel="0" collapsed="false">
      <c r="A33" s="54" t="str">
        <f aca="false">IF(B33="","",ROW()-6)</f>
        <v/>
      </c>
      <c r="B33" s="5"/>
      <c r="C33" s="55"/>
      <c r="D33" s="55"/>
      <c r="E33" s="5"/>
      <c r="F33" s="72"/>
      <c r="G33" s="73"/>
      <c r="H33" s="74" t="str">
        <f aca="false">IF(B33="","",IFERROR(INDEX(Dashboard!$G$9:$G$12,MATCH(F33,Dashboard!$F$9:$F$12,0)),1))</f>
        <v/>
      </c>
      <c r="I33" s="57" t="str">
        <f aca="false">IF(B33="","",G33*H33)</f>
        <v/>
      </c>
      <c r="J33" s="56"/>
      <c r="K33" s="56"/>
      <c r="L33" s="56"/>
      <c r="M33" s="56"/>
      <c r="N33" s="56"/>
      <c r="O33" s="57" t="str">
        <f aca="false">IF(B33="","",SUM(J33:N33))</f>
        <v/>
      </c>
      <c r="P33" s="36" t="str">
        <f aca="false">IF(B33="","",I33-O33)</f>
        <v/>
      </c>
      <c r="Q33" s="54" t="str">
        <f aca="false">IF(OR(B33="",D33="",P33&lt;=0),"",MAX(0,Dashboard!$C$8-D33))</f>
        <v/>
      </c>
      <c r="R33" s="75" t="str">
        <f aca="false">IF(OR(B33="",P33&lt;=0),"",IF(Q33=0,"Not due",IF(Q33&lt;=30,"1-30 days",IF(Q33&lt;=60,"31-60 days",IF(Q33&lt;=90,"61-90 days","90+ days")))))</f>
        <v/>
      </c>
      <c r="S33" s="12" t="str">
        <f aca="false">IF(B33="","",IF(P33&lt;=0,"Settled",IF(AND(Q33&lt;&gt;"",Q33&gt;0),"Overdue","Open")))</f>
        <v/>
      </c>
      <c r="T33" s="5"/>
    </row>
    <row r="34" customFormat="false" ht="15" hidden="false" customHeight="false" outlineLevel="0" collapsed="false">
      <c r="A34" s="58" t="str">
        <f aca="false">IF(B34="","",ROW()-6)</f>
        <v/>
      </c>
      <c r="B34" s="59"/>
      <c r="C34" s="60"/>
      <c r="D34" s="60"/>
      <c r="E34" s="59"/>
      <c r="F34" s="76"/>
      <c r="G34" s="77"/>
      <c r="H34" s="78" t="str">
        <f aca="false">IF(B34="","",IFERROR(INDEX(Dashboard!$G$9:$G$12,MATCH(F34,Dashboard!$F$9:$F$12,0)),1))</f>
        <v/>
      </c>
      <c r="I34" s="62" t="str">
        <f aca="false">IF(B34="","",G34*H34)</f>
        <v/>
      </c>
      <c r="J34" s="61"/>
      <c r="K34" s="61"/>
      <c r="L34" s="61"/>
      <c r="M34" s="61"/>
      <c r="N34" s="61"/>
      <c r="O34" s="62" t="str">
        <f aca="false">IF(B34="","",SUM(J34:N34))</f>
        <v/>
      </c>
      <c r="P34" s="63" t="str">
        <f aca="false">IF(B34="","",I34-O34)</f>
        <v/>
      </c>
      <c r="Q34" s="58" t="str">
        <f aca="false">IF(OR(B34="",D34="",P34&lt;=0),"",MAX(0,Dashboard!$C$8-D34))</f>
        <v/>
      </c>
      <c r="R34" s="79" t="str">
        <f aca="false">IF(OR(B34="",P34&lt;=0),"",IF(Q34=0,"Not due",IF(Q34&lt;=30,"1-30 days",IF(Q34&lt;=60,"31-60 days",IF(Q34&lt;=90,"61-90 days","90+ days")))))</f>
        <v/>
      </c>
      <c r="S34" s="65" t="str">
        <f aca="false">IF(B34="","",IF(P34&lt;=0,"Settled",IF(AND(Q34&lt;&gt;"",Q34&gt;0),"Overdue","Open")))</f>
        <v/>
      </c>
      <c r="T34" s="59"/>
    </row>
    <row r="35" customFormat="false" ht="15" hidden="false" customHeight="false" outlineLevel="0" collapsed="false">
      <c r="A35" s="54" t="str">
        <f aca="false">IF(B35="","",ROW()-6)</f>
        <v/>
      </c>
      <c r="B35" s="5"/>
      <c r="C35" s="55"/>
      <c r="D35" s="55"/>
      <c r="E35" s="5"/>
      <c r="F35" s="72"/>
      <c r="G35" s="73"/>
      <c r="H35" s="74" t="str">
        <f aca="false">IF(B35="","",IFERROR(INDEX(Dashboard!$G$9:$G$12,MATCH(F35,Dashboard!$F$9:$F$12,0)),1))</f>
        <v/>
      </c>
      <c r="I35" s="57" t="str">
        <f aca="false">IF(B35="","",G35*H35)</f>
        <v/>
      </c>
      <c r="J35" s="56"/>
      <c r="K35" s="56"/>
      <c r="L35" s="56"/>
      <c r="M35" s="56"/>
      <c r="N35" s="56"/>
      <c r="O35" s="57" t="str">
        <f aca="false">IF(B35="","",SUM(J35:N35))</f>
        <v/>
      </c>
      <c r="P35" s="36" t="str">
        <f aca="false">IF(B35="","",I35-O35)</f>
        <v/>
      </c>
      <c r="Q35" s="54" t="str">
        <f aca="false">IF(OR(B35="",D35="",P35&lt;=0),"",MAX(0,Dashboard!$C$8-D35))</f>
        <v/>
      </c>
      <c r="R35" s="75" t="str">
        <f aca="false">IF(OR(B35="",P35&lt;=0),"",IF(Q35=0,"Not due",IF(Q35&lt;=30,"1-30 days",IF(Q35&lt;=60,"31-60 days",IF(Q35&lt;=90,"61-90 days","90+ days")))))</f>
        <v/>
      </c>
      <c r="S35" s="12" t="str">
        <f aca="false">IF(B35="","",IF(P35&lt;=0,"Settled",IF(AND(Q35&lt;&gt;"",Q35&gt;0),"Overdue","Open")))</f>
        <v/>
      </c>
      <c r="T35" s="5"/>
    </row>
    <row r="36" customFormat="false" ht="15" hidden="false" customHeight="false" outlineLevel="0" collapsed="false">
      <c r="A36" s="58" t="str">
        <f aca="false">IF(B36="","",ROW()-6)</f>
        <v/>
      </c>
      <c r="B36" s="59"/>
      <c r="C36" s="60"/>
      <c r="D36" s="60"/>
      <c r="E36" s="59"/>
      <c r="F36" s="76"/>
      <c r="G36" s="77"/>
      <c r="H36" s="78" t="str">
        <f aca="false">IF(B36="","",IFERROR(INDEX(Dashboard!$G$9:$G$12,MATCH(F36,Dashboard!$F$9:$F$12,0)),1))</f>
        <v/>
      </c>
      <c r="I36" s="62" t="str">
        <f aca="false">IF(B36="","",G36*H36)</f>
        <v/>
      </c>
      <c r="J36" s="61"/>
      <c r="K36" s="61"/>
      <c r="L36" s="61"/>
      <c r="M36" s="61"/>
      <c r="N36" s="61"/>
      <c r="O36" s="62" t="str">
        <f aca="false">IF(B36="","",SUM(J36:N36))</f>
        <v/>
      </c>
      <c r="P36" s="63" t="str">
        <f aca="false">IF(B36="","",I36-O36)</f>
        <v/>
      </c>
      <c r="Q36" s="58" t="str">
        <f aca="false">IF(OR(B36="",D36="",P36&lt;=0),"",MAX(0,Dashboard!$C$8-D36))</f>
        <v/>
      </c>
      <c r="R36" s="79" t="str">
        <f aca="false">IF(OR(B36="",P36&lt;=0),"",IF(Q36=0,"Not due",IF(Q36&lt;=30,"1-30 days",IF(Q36&lt;=60,"31-60 days",IF(Q36&lt;=90,"61-90 days","90+ days")))))</f>
        <v/>
      </c>
      <c r="S36" s="65" t="str">
        <f aca="false">IF(B36="","",IF(P36&lt;=0,"Settled",IF(AND(Q36&lt;&gt;"",Q36&gt;0),"Overdue","Open")))</f>
        <v/>
      </c>
      <c r="T36" s="59"/>
    </row>
    <row r="37" customFormat="false" ht="15" hidden="false" customHeight="false" outlineLevel="0" collapsed="false">
      <c r="A37" s="54" t="str">
        <f aca="false">IF(B37="","",ROW()-6)</f>
        <v/>
      </c>
      <c r="B37" s="5"/>
      <c r="C37" s="55"/>
      <c r="D37" s="55"/>
      <c r="E37" s="5"/>
      <c r="F37" s="72"/>
      <c r="G37" s="73"/>
      <c r="H37" s="74" t="str">
        <f aca="false">IF(B37="","",IFERROR(INDEX(Dashboard!$G$9:$G$12,MATCH(F37,Dashboard!$F$9:$F$12,0)),1))</f>
        <v/>
      </c>
      <c r="I37" s="57" t="str">
        <f aca="false">IF(B37="","",G37*H37)</f>
        <v/>
      </c>
      <c r="J37" s="56"/>
      <c r="K37" s="56"/>
      <c r="L37" s="56"/>
      <c r="M37" s="56"/>
      <c r="N37" s="56"/>
      <c r="O37" s="57" t="str">
        <f aca="false">IF(B37="","",SUM(J37:N37))</f>
        <v/>
      </c>
      <c r="P37" s="36" t="str">
        <f aca="false">IF(B37="","",I37-O37)</f>
        <v/>
      </c>
      <c r="Q37" s="54" t="str">
        <f aca="false">IF(OR(B37="",D37="",P37&lt;=0),"",MAX(0,Dashboard!$C$8-D37))</f>
        <v/>
      </c>
      <c r="R37" s="75" t="str">
        <f aca="false">IF(OR(B37="",P37&lt;=0),"",IF(Q37=0,"Not due",IF(Q37&lt;=30,"1-30 days",IF(Q37&lt;=60,"31-60 days",IF(Q37&lt;=90,"61-90 days","90+ days")))))</f>
        <v/>
      </c>
      <c r="S37" s="12" t="str">
        <f aca="false">IF(B37="","",IF(P37&lt;=0,"Settled",IF(AND(Q37&lt;&gt;"",Q37&gt;0),"Overdue","Open")))</f>
        <v/>
      </c>
      <c r="T37" s="5"/>
    </row>
    <row r="38" customFormat="false" ht="15" hidden="false" customHeight="false" outlineLevel="0" collapsed="false">
      <c r="A38" s="58" t="str">
        <f aca="false">IF(B38="","",ROW()-6)</f>
        <v/>
      </c>
      <c r="B38" s="59"/>
      <c r="C38" s="60"/>
      <c r="D38" s="60"/>
      <c r="E38" s="59"/>
      <c r="F38" s="76"/>
      <c r="G38" s="77"/>
      <c r="H38" s="78" t="str">
        <f aca="false">IF(B38="","",IFERROR(INDEX(Dashboard!$G$9:$G$12,MATCH(F38,Dashboard!$F$9:$F$12,0)),1))</f>
        <v/>
      </c>
      <c r="I38" s="62" t="str">
        <f aca="false">IF(B38="","",G38*H38)</f>
        <v/>
      </c>
      <c r="J38" s="61"/>
      <c r="K38" s="61"/>
      <c r="L38" s="61"/>
      <c r="M38" s="61"/>
      <c r="N38" s="61"/>
      <c r="O38" s="62" t="str">
        <f aca="false">IF(B38="","",SUM(J38:N38))</f>
        <v/>
      </c>
      <c r="P38" s="63" t="str">
        <f aca="false">IF(B38="","",I38-O38)</f>
        <v/>
      </c>
      <c r="Q38" s="58" t="str">
        <f aca="false">IF(OR(B38="",D38="",P38&lt;=0),"",MAX(0,Dashboard!$C$8-D38))</f>
        <v/>
      </c>
      <c r="R38" s="79" t="str">
        <f aca="false">IF(OR(B38="",P38&lt;=0),"",IF(Q38=0,"Not due",IF(Q38&lt;=30,"1-30 days",IF(Q38&lt;=60,"31-60 days",IF(Q38&lt;=90,"61-90 days","90+ days")))))</f>
        <v/>
      </c>
      <c r="S38" s="65" t="str">
        <f aca="false">IF(B38="","",IF(P38&lt;=0,"Settled",IF(AND(Q38&lt;&gt;"",Q38&gt;0),"Overdue","Open")))</f>
        <v/>
      </c>
      <c r="T38" s="59"/>
    </row>
    <row r="39" customFormat="false" ht="15" hidden="false" customHeight="false" outlineLevel="0" collapsed="false">
      <c r="A39" s="54" t="str">
        <f aca="false">IF(B39="","",ROW()-6)</f>
        <v/>
      </c>
      <c r="B39" s="5"/>
      <c r="C39" s="55"/>
      <c r="D39" s="55"/>
      <c r="E39" s="5"/>
      <c r="F39" s="72"/>
      <c r="G39" s="73"/>
      <c r="H39" s="74" t="str">
        <f aca="false">IF(B39="","",IFERROR(INDEX(Dashboard!$G$9:$G$12,MATCH(F39,Dashboard!$F$9:$F$12,0)),1))</f>
        <v/>
      </c>
      <c r="I39" s="57" t="str">
        <f aca="false">IF(B39="","",G39*H39)</f>
        <v/>
      </c>
      <c r="J39" s="56"/>
      <c r="K39" s="56"/>
      <c r="L39" s="56"/>
      <c r="M39" s="56"/>
      <c r="N39" s="56"/>
      <c r="O39" s="57" t="str">
        <f aca="false">IF(B39="","",SUM(J39:N39))</f>
        <v/>
      </c>
      <c r="P39" s="36" t="str">
        <f aca="false">IF(B39="","",I39-O39)</f>
        <v/>
      </c>
      <c r="Q39" s="54" t="str">
        <f aca="false">IF(OR(B39="",D39="",P39&lt;=0),"",MAX(0,Dashboard!$C$8-D39))</f>
        <v/>
      </c>
      <c r="R39" s="75" t="str">
        <f aca="false">IF(OR(B39="",P39&lt;=0),"",IF(Q39=0,"Not due",IF(Q39&lt;=30,"1-30 days",IF(Q39&lt;=60,"31-60 days",IF(Q39&lt;=90,"61-90 days","90+ days")))))</f>
        <v/>
      </c>
      <c r="S39" s="12" t="str">
        <f aca="false">IF(B39="","",IF(P39&lt;=0,"Settled",IF(AND(Q39&lt;&gt;"",Q39&gt;0),"Overdue","Open")))</f>
        <v/>
      </c>
      <c r="T39" s="5"/>
    </row>
    <row r="40" customFormat="false" ht="15" hidden="false" customHeight="false" outlineLevel="0" collapsed="false">
      <c r="A40" s="58" t="str">
        <f aca="false">IF(B40="","",ROW()-6)</f>
        <v/>
      </c>
      <c r="B40" s="59"/>
      <c r="C40" s="60"/>
      <c r="D40" s="60"/>
      <c r="E40" s="59"/>
      <c r="F40" s="76"/>
      <c r="G40" s="77"/>
      <c r="H40" s="78" t="str">
        <f aca="false">IF(B40="","",IFERROR(INDEX(Dashboard!$G$9:$G$12,MATCH(F40,Dashboard!$F$9:$F$12,0)),1))</f>
        <v/>
      </c>
      <c r="I40" s="62" t="str">
        <f aca="false">IF(B40="","",G40*H40)</f>
        <v/>
      </c>
      <c r="J40" s="61"/>
      <c r="K40" s="61"/>
      <c r="L40" s="61"/>
      <c r="M40" s="61"/>
      <c r="N40" s="61"/>
      <c r="O40" s="62" t="str">
        <f aca="false">IF(B40="","",SUM(J40:N40))</f>
        <v/>
      </c>
      <c r="P40" s="63" t="str">
        <f aca="false">IF(B40="","",I40-O40)</f>
        <v/>
      </c>
      <c r="Q40" s="58" t="str">
        <f aca="false">IF(OR(B40="",D40="",P40&lt;=0),"",MAX(0,Dashboard!$C$8-D40))</f>
        <v/>
      </c>
      <c r="R40" s="79" t="str">
        <f aca="false">IF(OR(B40="",P40&lt;=0),"",IF(Q40=0,"Not due",IF(Q40&lt;=30,"1-30 days",IF(Q40&lt;=60,"31-60 days",IF(Q40&lt;=90,"61-90 days","90+ days")))))</f>
        <v/>
      </c>
      <c r="S40" s="65" t="str">
        <f aca="false">IF(B40="","",IF(P40&lt;=0,"Settled",IF(AND(Q40&lt;&gt;"",Q40&gt;0),"Overdue","Open")))</f>
        <v/>
      </c>
      <c r="T40" s="59"/>
    </row>
    <row r="41" customFormat="false" ht="15" hidden="false" customHeight="false" outlineLevel="0" collapsed="false">
      <c r="A41" s="54" t="str">
        <f aca="false">IF(B41="","",ROW()-6)</f>
        <v/>
      </c>
      <c r="B41" s="5"/>
      <c r="C41" s="55"/>
      <c r="D41" s="55"/>
      <c r="E41" s="5"/>
      <c r="F41" s="72"/>
      <c r="G41" s="73"/>
      <c r="H41" s="74" t="str">
        <f aca="false">IF(B41="","",IFERROR(INDEX(Dashboard!$G$9:$G$12,MATCH(F41,Dashboard!$F$9:$F$12,0)),1))</f>
        <v/>
      </c>
      <c r="I41" s="57" t="str">
        <f aca="false">IF(B41="","",G41*H41)</f>
        <v/>
      </c>
      <c r="J41" s="56"/>
      <c r="K41" s="56"/>
      <c r="L41" s="56"/>
      <c r="M41" s="56"/>
      <c r="N41" s="56"/>
      <c r="O41" s="57" t="str">
        <f aca="false">IF(B41="","",SUM(J41:N41))</f>
        <v/>
      </c>
      <c r="P41" s="36" t="str">
        <f aca="false">IF(B41="","",I41-O41)</f>
        <v/>
      </c>
      <c r="Q41" s="54" t="str">
        <f aca="false">IF(OR(B41="",D41="",P41&lt;=0),"",MAX(0,Dashboard!$C$8-D41))</f>
        <v/>
      </c>
      <c r="R41" s="75" t="str">
        <f aca="false">IF(OR(B41="",P41&lt;=0),"",IF(Q41=0,"Not due",IF(Q41&lt;=30,"1-30 days",IF(Q41&lt;=60,"31-60 days",IF(Q41&lt;=90,"61-90 days","90+ days")))))</f>
        <v/>
      </c>
      <c r="S41" s="12" t="str">
        <f aca="false">IF(B41="","",IF(P41&lt;=0,"Settled",IF(AND(Q41&lt;&gt;"",Q41&gt;0),"Overdue","Open")))</f>
        <v/>
      </c>
      <c r="T41" s="5"/>
    </row>
    <row r="42" customFormat="false" ht="15" hidden="false" customHeight="false" outlineLevel="0" collapsed="false">
      <c r="A42" s="58" t="str">
        <f aca="false">IF(B42="","",ROW()-6)</f>
        <v/>
      </c>
      <c r="B42" s="59"/>
      <c r="C42" s="60"/>
      <c r="D42" s="60"/>
      <c r="E42" s="59"/>
      <c r="F42" s="76"/>
      <c r="G42" s="77"/>
      <c r="H42" s="78" t="str">
        <f aca="false">IF(B42="","",IFERROR(INDEX(Dashboard!$G$9:$G$12,MATCH(F42,Dashboard!$F$9:$F$12,0)),1))</f>
        <v/>
      </c>
      <c r="I42" s="62" t="str">
        <f aca="false">IF(B42="","",G42*H42)</f>
        <v/>
      </c>
      <c r="J42" s="61"/>
      <c r="K42" s="61"/>
      <c r="L42" s="61"/>
      <c r="M42" s="61"/>
      <c r="N42" s="61"/>
      <c r="O42" s="62" t="str">
        <f aca="false">IF(B42="","",SUM(J42:N42))</f>
        <v/>
      </c>
      <c r="P42" s="63" t="str">
        <f aca="false">IF(B42="","",I42-O42)</f>
        <v/>
      </c>
      <c r="Q42" s="58" t="str">
        <f aca="false">IF(OR(B42="",D42="",P42&lt;=0),"",MAX(0,Dashboard!$C$8-D42))</f>
        <v/>
      </c>
      <c r="R42" s="79" t="str">
        <f aca="false">IF(OR(B42="",P42&lt;=0),"",IF(Q42=0,"Not due",IF(Q42&lt;=30,"1-30 days",IF(Q42&lt;=60,"31-60 days",IF(Q42&lt;=90,"61-90 days","90+ days")))))</f>
        <v/>
      </c>
      <c r="S42" s="65" t="str">
        <f aca="false">IF(B42="","",IF(P42&lt;=0,"Settled",IF(AND(Q42&lt;&gt;"",Q42&gt;0),"Overdue","Open")))</f>
        <v/>
      </c>
      <c r="T42" s="59"/>
    </row>
    <row r="43" customFormat="false" ht="15" hidden="false" customHeight="false" outlineLevel="0" collapsed="false">
      <c r="A43" s="54" t="str">
        <f aca="false">IF(B43="","",ROW()-6)</f>
        <v/>
      </c>
      <c r="B43" s="5"/>
      <c r="C43" s="55"/>
      <c r="D43" s="55"/>
      <c r="E43" s="5"/>
      <c r="F43" s="72"/>
      <c r="G43" s="73"/>
      <c r="H43" s="74" t="str">
        <f aca="false">IF(B43="","",IFERROR(INDEX(Dashboard!$G$9:$G$12,MATCH(F43,Dashboard!$F$9:$F$12,0)),1))</f>
        <v/>
      </c>
      <c r="I43" s="57" t="str">
        <f aca="false">IF(B43="","",G43*H43)</f>
        <v/>
      </c>
      <c r="J43" s="56"/>
      <c r="K43" s="56"/>
      <c r="L43" s="56"/>
      <c r="M43" s="56"/>
      <c r="N43" s="56"/>
      <c r="O43" s="57" t="str">
        <f aca="false">IF(B43="","",SUM(J43:N43))</f>
        <v/>
      </c>
      <c r="P43" s="36" t="str">
        <f aca="false">IF(B43="","",I43-O43)</f>
        <v/>
      </c>
      <c r="Q43" s="54" t="str">
        <f aca="false">IF(OR(B43="",D43="",P43&lt;=0),"",MAX(0,Dashboard!$C$8-D43))</f>
        <v/>
      </c>
      <c r="R43" s="75" t="str">
        <f aca="false">IF(OR(B43="",P43&lt;=0),"",IF(Q43=0,"Not due",IF(Q43&lt;=30,"1-30 days",IF(Q43&lt;=60,"31-60 days",IF(Q43&lt;=90,"61-90 days","90+ days")))))</f>
        <v/>
      </c>
      <c r="S43" s="12" t="str">
        <f aca="false">IF(B43="","",IF(P43&lt;=0,"Settled",IF(AND(Q43&lt;&gt;"",Q43&gt;0),"Overdue","Open")))</f>
        <v/>
      </c>
      <c r="T43" s="5"/>
    </row>
    <row r="44" customFormat="false" ht="15" hidden="false" customHeight="false" outlineLevel="0" collapsed="false">
      <c r="A44" s="58" t="str">
        <f aca="false">IF(B44="","",ROW()-6)</f>
        <v/>
      </c>
      <c r="B44" s="59"/>
      <c r="C44" s="60"/>
      <c r="D44" s="60"/>
      <c r="E44" s="59"/>
      <c r="F44" s="76"/>
      <c r="G44" s="77"/>
      <c r="H44" s="78" t="str">
        <f aca="false">IF(B44="","",IFERROR(INDEX(Dashboard!$G$9:$G$12,MATCH(F44,Dashboard!$F$9:$F$12,0)),1))</f>
        <v/>
      </c>
      <c r="I44" s="62" t="str">
        <f aca="false">IF(B44="","",G44*H44)</f>
        <v/>
      </c>
      <c r="J44" s="61"/>
      <c r="K44" s="61"/>
      <c r="L44" s="61"/>
      <c r="M44" s="61"/>
      <c r="N44" s="61"/>
      <c r="O44" s="62" t="str">
        <f aca="false">IF(B44="","",SUM(J44:N44))</f>
        <v/>
      </c>
      <c r="P44" s="63" t="str">
        <f aca="false">IF(B44="","",I44-O44)</f>
        <v/>
      </c>
      <c r="Q44" s="58" t="str">
        <f aca="false">IF(OR(B44="",D44="",P44&lt;=0),"",MAX(0,Dashboard!$C$8-D44))</f>
        <v/>
      </c>
      <c r="R44" s="79" t="str">
        <f aca="false">IF(OR(B44="",P44&lt;=0),"",IF(Q44=0,"Not due",IF(Q44&lt;=30,"1-30 days",IF(Q44&lt;=60,"31-60 days",IF(Q44&lt;=90,"61-90 days","90+ days")))))</f>
        <v/>
      </c>
      <c r="S44" s="65" t="str">
        <f aca="false">IF(B44="","",IF(P44&lt;=0,"Settled",IF(AND(Q44&lt;&gt;"",Q44&gt;0),"Overdue","Open")))</f>
        <v/>
      </c>
      <c r="T44" s="59"/>
    </row>
    <row r="45" customFormat="false" ht="15" hidden="false" customHeight="false" outlineLevel="0" collapsed="false">
      <c r="A45" s="54" t="str">
        <f aca="false">IF(B45="","",ROW()-6)</f>
        <v/>
      </c>
      <c r="B45" s="5"/>
      <c r="C45" s="55"/>
      <c r="D45" s="55"/>
      <c r="E45" s="5"/>
      <c r="F45" s="72"/>
      <c r="G45" s="73"/>
      <c r="H45" s="74" t="str">
        <f aca="false">IF(B45="","",IFERROR(INDEX(Dashboard!$G$9:$G$12,MATCH(F45,Dashboard!$F$9:$F$12,0)),1))</f>
        <v/>
      </c>
      <c r="I45" s="57" t="str">
        <f aca="false">IF(B45="","",G45*H45)</f>
        <v/>
      </c>
      <c r="J45" s="56"/>
      <c r="K45" s="56"/>
      <c r="L45" s="56"/>
      <c r="M45" s="56"/>
      <c r="N45" s="56"/>
      <c r="O45" s="57" t="str">
        <f aca="false">IF(B45="","",SUM(J45:N45))</f>
        <v/>
      </c>
      <c r="P45" s="36" t="str">
        <f aca="false">IF(B45="","",I45-O45)</f>
        <v/>
      </c>
      <c r="Q45" s="54" t="str">
        <f aca="false">IF(OR(B45="",D45="",P45&lt;=0),"",MAX(0,Dashboard!$C$8-D45))</f>
        <v/>
      </c>
      <c r="R45" s="75" t="str">
        <f aca="false">IF(OR(B45="",P45&lt;=0),"",IF(Q45=0,"Not due",IF(Q45&lt;=30,"1-30 days",IF(Q45&lt;=60,"31-60 days",IF(Q45&lt;=90,"61-90 days","90+ days")))))</f>
        <v/>
      </c>
      <c r="S45" s="12" t="str">
        <f aca="false">IF(B45="","",IF(P45&lt;=0,"Settled",IF(AND(Q45&lt;&gt;"",Q45&gt;0),"Overdue","Open")))</f>
        <v/>
      </c>
      <c r="T45" s="5"/>
    </row>
    <row r="46" customFormat="false" ht="15" hidden="false" customHeight="false" outlineLevel="0" collapsed="false">
      <c r="A46" s="58" t="str">
        <f aca="false">IF(B46="","",ROW()-6)</f>
        <v/>
      </c>
      <c r="B46" s="59"/>
      <c r="C46" s="60"/>
      <c r="D46" s="60"/>
      <c r="E46" s="59"/>
      <c r="F46" s="76"/>
      <c r="G46" s="77"/>
      <c r="H46" s="78" t="str">
        <f aca="false">IF(B46="","",IFERROR(INDEX(Dashboard!$G$9:$G$12,MATCH(F46,Dashboard!$F$9:$F$12,0)),1))</f>
        <v/>
      </c>
      <c r="I46" s="62" t="str">
        <f aca="false">IF(B46="","",G46*H46)</f>
        <v/>
      </c>
      <c r="J46" s="61"/>
      <c r="K46" s="61"/>
      <c r="L46" s="61"/>
      <c r="M46" s="61"/>
      <c r="N46" s="61"/>
      <c r="O46" s="62" t="str">
        <f aca="false">IF(B46="","",SUM(J46:N46))</f>
        <v/>
      </c>
      <c r="P46" s="63" t="str">
        <f aca="false">IF(B46="","",I46-O46)</f>
        <v/>
      </c>
      <c r="Q46" s="58" t="str">
        <f aca="false">IF(OR(B46="",D46="",P46&lt;=0),"",MAX(0,Dashboard!$C$8-D46))</f>
        <v/>
      </c>
      <c r="R46" s="79" t="str">
        <f aca="false">IF(OR(B46="",P46&lt;=0),"",IF(Q46=0,"Not due",IF(Q46&lt;=30,"1-30 days",IF(Q46&lt;=60,"31-60 days",IF(Q46&lt;=90,"61-90 days","90+ days")))))</f>
        <v/>
      </c>
      <c r="S46" s="65" t="str">
        <f aca="false">IF(B46="","",IF(P46&lt;=0,"Settled",IF(AND(Q46&lt;&gt;"",Q46&gt;0),"Overdue","Open")))</f>
        <v/>
      </c>
      <c r="T46" s="59"/>
    </row>
    <row r="47" customFormat="false" ht="15" hidden="false" customHeight="false" outlineLevel="0" collapsed="false">
      <c r="A47" s="66"/>
      <c r="B47" s="67" t="s">
        <v>112</v>
      </c>
      <c r="C47" s="66"/>
      <c r="D47" s="66"/>
      <c r="E47" s="66"/>
      <c r="F47" s="66"/>
      <c r="G47" s="66"/>
      <c r="H47" s="66"/>
      <c r="I47" s="68" t="n">
        <f aca="false">SUM(I7:I46)</f>
        <v>1103480</v>
      </c>
      <c r="J47" s="68" t="n">
        <f aca="false">SUM(J7:J46)</f>
        <v>0</v>
      </c>
      <c r="K47" s="68" t="n">
        <f aca="false">SUM(K7:K46)</f>
        <v>0</v>
      </c>
      <c r="L47" s="68" t="n">
        <f aca="false">SUM(L7:L46)</f>
        <v>0</v>
      </c>
      <c r="M47" s="68" t="n">
        <f aca="false">SUM(M7:M46)</f>
        <v>0</v>
      </c>
      <c r="N47" s="68" t="n">
        <f aca="false">SUM(N7:N46)</f>
        <v>0</v>
      </c>
      <c r="O47" s="68" t="n">
        <f aca="false">SUM(O7:O46)</f>
        <v>0</v>
      </c>
      <c r="P47" s="68" t="n">
        <f aca="false">SUM(P7:P46)</f>
        <v>1103480</v>
      </c>
      <c r="Q47" s="70" t="n">
        <f aca="false">COUNTIF(S7:S46,"Overdue")</f>
        <v>3</v>
      </c>
      <c r="R47" s="66"/>
      <c r="S47" s="71" t="s">
        <v>113</v>
      </c>
      <c r="T47" s="66"/>
    </row>
    <row r="49" customFormat="false" ht="15" hidden="false" customHeight="false" outlineLevel="0" collapsed="false">
      <c r="E49" s="80" t="s">
        <v>142</v>
      </c>
    </row>
    <row r="50" customFormat="false" ht="15" hidden="false" customHeight="false" outlineLevel="0" collapsed="false">
      <c r="E50" s="10" t="s">
        <v>18</v>
      </c>
      <c r="F50" s="81" t="n">
        <f aca="false">SUMIF(F7:F46,E50,G7:G46)-SUMPRODUCT((F7:F46=E50)*(O7:O46&lt;&gt;"")*IFERROR(O7:O46/H7:H46,0))</f>
        <v>16700</v>
      </c>
      <c r="G50" s="81"/>
    </row>
    <row r="51" customFormat="false" ht="15" hidden="false" customHeight="false" outlineLevel="0" collapsed="false">
      <c r="E51" s="10" t="s">
        <v>22</v>
      </c>
      <c r="F51" s="81" t="n">
        <f aca="false">SUMIF(F7:F46,E51,G7:G46)-SUMPRODUCT((F7:F46=E51)*(O7:O46&lt;&gt;"")*IFERROR(O7:O46/H7:H46,0))</f>
        <v>3800</v>
      </c>
      <c r="G51" s="81"/>
    </row>
    <row r="52" customFormat="false" ht="15" hidden="false" customHeight="false" outlineLevel="0" collapsed="false">
      <c r="E52" s="10" t="s">
        <v>26</v>
      </c>
      <c r="F52" s="81" t="n">
        <f aca="false">SUMIF(F7:F46,E52,G7:G46)-SUMPRODUCT((F7:F46=E52)*(O7:O46&lt;&gt;"")*IFERROR(O7:O46/H7:H46,0))</f>
        <v>0</v>
      </c>
      <c r="G52" s="81"/>
    </row>
    <row r="53" customFormat="false" ht="15" hidden="false" customHeight="false" outlineLevel="0" collapsed="false">
      <c r="E53" s="10" t="s">
        <v>30</v>
      </c>
      <c r="F53" s="81" t="n">
        <f aca="false">SUMIF(F7:F46,E53,G7:G46)-SUMPRODUCT((F7:F46=E53)*(O7:O46&lt;&gt;"")*IFERROR(O7:O46/H7:H46,0))</f>
        <v>0</v>
      </c>
      <c r="G53" s="81"/>
    </row>
  </sheetData>
  <autoFilter ref="A5:T46"/>
  <mergeCells count="7">
    <mergeCell ref="A1:T1"/>
    <mergeCell ref="A2:T2"/>
    <mergeCell ref="J4:N4"/>
    <mergeCell ref="F50:G50"/>
    <mergeCell ref="F51:G51"/>
    <mergeCell ref="F52:G52"/>
    <mergeCell ref="F53:G53"/>
  </mergeCells>
  <conditionalFormatting sqref="S7:S46">
    <cfRule type="cellIs" priority="2" operator="equal" aboveAverage="0" equalAverage="0" bottom="0" percent="0" rank="0" text="" dxfId="17">
      <formula>"Overdue"</formula>
    </cfRule>
    <cfRule type="cellIs" priority="3" operator="equal" aboveAverage="0" equalAverage="0" bottom="0" percent="0" rank="0" text="" dxfId="18">
      <formula>"Settled"</formula>
    </cfRule>
    <cfRule type="cellIs" priority="4" operator="equal" aboveAverage="0" equalAverage="0" bottom="0" percent="0" rank="0" text="" dxfId="19">
      <formula>"Open"</formula>
    </cfRule>
  </conditionalFormatting>
  <conditionalFormatting sqref="R7:R46">
    <cfRule type="cellIs" priority="5" operator="equal" aboveAverage="0" equalAverage="0" bottom="0" percent="0" rank="0" text="" dxfId="17">
      <formula>"90+ days"</formula>
    </cfRule>
  </conditionalFormatting>
  <dataValidations count="2">
    <dataValidation allowBlank="true" errorStyle="stop" operator="greaterThan" showDropDown="false" showErrorMessage="false" showInputMessage="false" sqref="C7:D46" type="date">
      <formula1>36526</formula1>
      <formula2>0</formula2>
    </dataValidation>
    <dataValidation allowBlank="true" error="Choose GBP, EUR, USD or TRY" errorStyle="stop" errorTitle="Currency" operator="between" showDropDown="false" showErrorMessage="false" showInputMessage="false" sqref="F7:F46" type="list">
      <formula1>"GBP,EUR,USD,TRY"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&amp;RConfidential</oddHeader>
    <oddFooter>&amp;C&amp;A – Page &amp;P of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tru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1" t="s">
        <v>143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144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50" t="s">
        <v>92</v>
      </c>
      <c r="B4" s="50" t="s">
        <v>145</v>
      </c>
      <c r="C4" s="50" t="s">
        <v>146</v>
      </c>
      <c r="D4" s="50" t="s">
        <v>147</v>
      </c>
      <c r="E4" s="50" t="s">
        <v>12</v>
      </c>
      <c r="F4" s="50" t="s">
        <v>148</v>
      </c>
      <c r="G4" s="50" t="s">
        <v>134</v>
      </c>
      <c r="H4" s="50" t="s">
        <v>149</v>
      </c>
      <c r="I4" s="50" t="s">
        <v>150</v>
      </c>
      <c r="J4" s="50" t="s">
        <v>103</v>
      </c>
    </row>
    <row r="5" customFormat="false" ht="15" hidden="false" customHeight="false" outlineLevel="0" collapsed="false">
      <c r="A5" s="54" t="n">
        <f aca="false">IF(B5="","",ROW()-4)</f>
        <v>1</v>
      </c>
      <c r="B5" s="5" t="s">
        <v>151</v>
      </c>
      <c r="C5" s="5" t="s">
        <v>152</v>
      </c>
      <c r="D5" s="72" t="s">
        <v>153</v>
      </c>
      <c r="E5" s="72" t="s">
        <v>30</v>
      </c>
      <c r="F5" s="73" t="n">
        <v>1250000</v>
      </c>
      <c r="G5" s="74" t="n">
        <f aca="false">IF(B5="","",IFERROR(INDEX(Dashboard!$G$9:$G$12,MATCH(E5,Dashboard!$F$9:$F$12,0)),1))</f>
        <v>1</v>
      </c>
      <c r="H5" s="36" t="n">
        <f aca="false">IF(B5="","",F5*G5)</f>
        <v>1250000</v>
      </c>
      <c r="I5" s="72" t="s">
        <v>154</v>
      </c>
      <c r="J5" s="5" t="s">
        <v>107</v>
      </c>
    </row>
    <row r="6" customFormat="false" ht="15" hidden="false" customHeight="false" outlineLevel="0" collapsed="false">
      <c r="A6" s="58" t="n">
        <f aca="false">IF(B6="","",ROW()-4)</f>
        <v>2</v>
      </c>
      <c r="B6" s="59" t="s">
        <v>155</v>
      </c>
      <c r="C6" s="59" t="s">
        <v>156</v>
      </c>
      <c r="D6" s="76" t="s">
        <v>153</v>
      </c>
      <c r="E6" s="76" t="s">
        <v>22</v>
      </c>
      <c r="F6" s="77" t="n">
        <v>15000</v>
      </c>
      <c r="G6" s="78" t="n">
        <f aca="false">IF(B6="","",IFERROR(INDEX(Dashboard!$G$9:$G$12,MATCH(E6,Dashboard!$F$9:$F$12,0)),1))</f>
        <v>47.8</v>
      </c>
      <c r="H6" s="63" t="n">
        <f aca="false">IF(B6="","",F6*G6)</f>
        <v>717000</v>
      </c>
      <c r="I6" s="76" t="s">
        <v>154</v>
      </c>
      <c r="J6" s="59" t="s">
        <v>107</v>
      </c>
    </row>
    <row r="7" customFormat="false" ht="15" hidden="false" customHeight="false" outlineLevel="0" collapsed="false">
      <c r="A7" s="54" t="n">
        <f aca="false">IF(B7="","",ROW()-4)</f>
        <v>3</v>
      </c>
      <c r="B7" s="5" t="s">
        <v>151</v>
      </c>
      <c r="C7" s="5" t="s">
        <v>157</v>
      </c>
      <c r="D7" s="72" t="s">
        <v>158</v>
      </c>
      <c r="E7" s="72" t="s">
        <v>30</v>
      </c>
      <c r="F7" s="73" t="n">
        <v>500000</v>
      </c>
      <c r="G7" s="74" t="n">
        <f aca="false">IF(B7="","",IFERROR(INDEX(Dashboard!$G$9:$G$12,MATCH(E7,Dashboard!$F$9:$F$12,0)),1))</f>
        <v>1</v>
      </c>
      <c r="H7" s="36" t="n">
        <f aca="false">IF(B7="","",F7*G7)</f>
        <v>500000</v>
      </c>
      <c r="I7" s="72" t="s">
        <v>92</v>
      </c>
      <c r="J7" s="5" t="s">
        <v>107</v>
      </c>
    </row>
    <row r="8" customFormat="false" ht="15" hidden="false" customHeight="false" outlineLevel="0" collapsed="false">
      <c r="A8" s="58" t="n">
        <f aca="false">IF(B8="","",ROW()-4)</f>
        <v>4</v>
      </c>
      <c r="B8" s="59" t="s">
        <v>159</v>
      </c>
      <c r="C8" s="59" t="s">
        <v>160</v>
      </c>
      <c r="D8" s="76" t="s">
        <v>161</v>
      </c>
      <c r="E8" s="76" t="s">
        <v>30</v>
      </c>
      <c r="F8" s="77" t="n">
        <v>8500</v>
      </c>
      <c r="G8" s="78" t="n">
        <f aca="false">IF(B8="","",IFERROR(INDEX(Dashboard!$G$9:$G$12,MATCH(E8,Dashboard!$F$9:$F$12,0)),1))</f>
        <v>1</v>
      </c>
      <c r="H8" s="63" t="n">
        <f aca="false">IF(B8="","",F8*G8)</f>
        <v>8500</v>
      </c>
      <c r="I8" s="76" t="s">
        <v>154</v>
      </c>
      <c r="J8" s="59" t="s">
        <v>107</v>
      </c>
    </row>
    <row r="9" customFormat="false" ht="15" hidden="false" customHeight="false" outlineLevel="0" collapsed="false">
      <c r="A9" s="54" t="str">
        <f aca="false">IF(B9="","",ROW()-4)</f>
        <v/>
      </c>
      <c r="B9" s="5"/>
      <c r="C9" s="5"/>
      <c r="D9" s="72"/>
      <c r="E9" s="72"/>
      <c r="F9" s="73"/>
      <c r="G9" s="74" t="str">
        <f aca="false">IF(B9="","",IFERROR(INDEX(Dashboard!$G$9:$G$12,MATCH(E9,Dashboard!$F$9:$F$12,0)),1))</f>
        <v/>
      </c>
      <c r="H9" s="36" t="str">
        <f aca="false">IF(B9="","",F9*G9)</f>
        <v/>
      </c>
      <c r="I9" s="72"/>
      <c r="J9" s="5"/>
    </row>
    <row r="10" customFormat="false" ht="15" hidden="false" customHeight="false" outlineLevel="0" collapsed="false">
      <c r="A10" s="58" t="str">
        <f aca="false">IF(B10="","",ROW()-4)</f>
        <v/>
      </c>
      <c r="B10" s="59"/>
      <c r="C10" s="59"/>
      <c r="D10" s="76"/>
      <c r="E10" s="76"/>
      <c r="F10" s="77"/>
      <c r="G10" s="78" t="str">
        <f aca="false">IF(B10="","",IFERROR(INDEX(Dashboard!$G$9:$G$12,MATCH(E10,Dashboard!$F$9:$F$12,0)),1))</f>
        <v/>
      </c>
      <c r="H10" s="63" t="str">
        <f aca="false">IF(B10="","",F10*G10)</f>
        <v/>
      </c>
      <c r="I10" s="76"/>
      <c r="J10" s="59"/>
    </row>
    <row r="11" customFormat="false" ht="15" hidden="false" customHeight="false" outlineLevel="0" collapsed="false">
      <c r="A11" s="54" t="str">
        <f aca="false">IF(B11="","",ROW()-4)</f>
        <v/>
      </c>
      <c r="B11" s="5"/>
      <c r="C11" s="5"/>
      <c r="D11" s="72"/>
      <c r="E11" s="72"/>
      <c r="F11" s="73"/>
      <c r="G11" s="74" t="str">
        <f aca="false">IF(B11="","",IFERROR(INDEX(Dashboard!$G$9:$G$12,MATCH(E11,Dashboard!$F$9:$F$12,0)),1))</f>
        <v/>
      </c>
      <c r="H11" s="36" t="str">
        <f aca="false">IF(B11="","",F11*G11)</f>
        <v/>
      </c>
      <c r="I11" s="72"/>
      <c r="J11" s="5"/>
    </row>
    <row r="12" customFormat="false" ht="15" hidden="false" customHeight="false" outlineLevel="0" collapsed="false">
      <c r="A12" s="58" t="str">
        <f aca="false">IF(B12="","",ROW()-4)</f>
        <v/>
      </c>
      <c r="B12" s="59"/>
      <c r="C12" s="59"/>
      <c r="D12" s="76"/>
      <c r="E12" s="76"/>
      <c r="F12" s="77"/>
      <c r="G12" s="78" t="str">
        <f aca="false">IF(B12="","",IFERROR(INDEX(Dashboard!$G$9:$G$12,MATCH(E12,Dashboard!$F$9:$F$12,0)),1))</f>
        <v/>
      </c>
      <c r="H12" s="63" t="str">
        <f aca="false">IF(B12="","",F12*G12)</f>
        <v/>
      </c>
      <c r="I12" s="76"/>
      <c r="J12" s="59"/>
    </row>
    <row r="13" customFormat="false" ht="15" hidden="false" customHeight="false" outlineLevel="0" collapsed="false">
      <c r="A13" s="54" t="str">
        <f aca="false">IF(B13="","",ROW()-4)</f>
        <v/>
      </c>
      <c r="B13" s="5"/>
      <c r="C13" s="5"/>
      <c r="D13" s="72"/>
      <c r="E13" s="72"/>
      <c r="F13" s="73"/>
      <c r="G13" s="74" t="str">
        <f aca="false">IF(B13="","",IFERROR(INDEX(Dashboard!$G$9:$G$12,MATCH(E13,Dashboard!$F$9:$F$12,0)),1))</f>
        <v/>
      </c>
      <c r="H13" s="36" t="str">
        <f aca="false">IF(B13="","",F13*G13)</f>
        <v/>
      </c>
      <c r="I13" s="72"/>
      <c r="J13" s="5"/>
    </row>
    <row r="14" customFormat="false" ht="15" hidden="false" customHeight="false" outlineLevel="0" collapsed="false">
      <c r="A14" s="58" t="str">
        <f aca="false">IF(B14="","",ROW()-4)</f>
        <v/>
      </c>
      <c r="B14" s="59"/>
      <c r="C14" s="59"/>
      <c r="D14" s="76"/>
      <c r="E14" s="76"/>
      <c r="F14" s="77"/>
      <c r="G14" s="78" t="str">
        <f aca="false">IF(B14="","",IFERROR(INDEX(Dashboard!$G$9:$G$12,MATCH(E14,Dashboard!$F$9:$F$12,0)),1))</f>
        <v/>
      </c>
      <c r="H14" s="63" t="str">
        <f aca="false">IF(B14="","",F14*G14)</f>
        <v/>
      </c>
      <c r="I14" s="76"/>
      <c r="J14" s="59"/>
    </row>
    <row r="15" customFormat="false" ht="15" hidden="false" customHeight="false" outlineLevel="0" collapsed="false">
      <c r="A15" s="54" t="str">
        <f aca="false">IF(B15="","",ROW()-4)</f>
        <v/>
      </c>
      <c r="B15" s="5"/>
      <c r="C15" s="5"/>
      <c r="D15" s="72"/>
      <c r="E15" s="72"/>
      <c r="F15" s="73"/>
      <c r="G15" s="74" t="str">
        <f aca="false">IF(B15="","",IFERROR(INDEX(Dashboard!$G$9:$G$12,MATCH(E15,Dashboard!$F$9:$F$12,0)),1))</f>
        <v/>
      </c>
      <c r="H15" s="36" t="str">
        <f aca="false">IF(B15="","",F15*G15)</f>
        <v/>
      </c>
      <c r="I15" s="72"/>
      <c r="J15" s="5"/>
    </row>
    <row r="16" customFormat="false" ht="15" hidden="false" customHeight="false" outlineLevel="0" collapsed="false">
      <c r="A16" s="58" t="str">
        <f aca="false">IF(B16="","",ROW()-4)</f>
        <v/>
      </c>
      <c r="B16" s="59"/>
      <c r="C16" s="59"/>
      <c r="D16" s="76"/>
      <c r="E16" s="76"/>
      <c r="F16" s="77"/>
      <c r="G16" s="78" t="str">
        <f aca="false">IF(B16="","",IFERROR(INDEX(Dashboard!$G$9:$G$12,MATCH(E16,Dashboard!$F$9:$F$12,0)),1))</f>
        <v/>
      </c>
      <c r="H16" s="63" t="str">
        <f aca="false">IF(B16="","",F16*G16)</f>
        <v/>
      </c>
      <c r="I16" s="76"/>
      <c r="J16" s="59"/>
    </row>
    <row r="17" customFormat="false" ht="15" hidden="false" customHeight="false" outlineLevel="0" collapsed="false">
      <c r="A17" s="54" t="str">
        <f aca="false">IF(B17="","",ROW()-4)</f>
        <v/>
      </c>
      <c r="B17" s="5"/>
      <c r="C17" s="5"/>
      <c r="D17" s="72"/>
      <c r="E17" s="72"/>
      <c r="F17" s="73"/>
      <c r="G17" s="74" t="str">
        <f aca="false">IF(B17="","",IFERROR(INDEX(Dashboard!$G$9:$G$12,MATCH(E17,Dashboard!$F$9:$F$12,0)),1))</f>
        <v/>
      </c>
      <c r="H17" s="36" t="str">
        <f aca="false">IF(B17="","",F17*G17)</f>
        <v/>
      </c>
      <c r="I17" s="72"/>
      <c r="J17" s="5"/>
    </row>
    <row r="18" customFormat="false" ht="15" hidden="false" customHeight="false" outlineLevel="0" collapsed="false">
      <c r="A18" s="58" t="str">
        <f aca="false">IF(B18="","",ROW()-4)</f>
        <v/>
      </c>
      <c r="B18" s="59"/>
      <c r="C18" s="59"/>
      <c r="D18" s="76"/>
      <c r="E18" s="76"/>
      <c r="F18" s="77"/>
      <c r="G18" s="78" t="str">
        <f aca="false">IF(B18="","",IFERROR(INDEX(Dashboard!$G$9:$G$12,MATCH(E18,Dashboard!$F$9:$F$12,0)),1))</f>
        <v/>
      </c>
      <c r="H18" s="63" t="str">
        <f aca="false">IF(B18="","",F18*G18)</f>
        <v/>
      </c>
      <c r="I18" s="76"/>
      <c r="J18" s="59"/>
    </row>
    <row r="19" customFormat="false" ht="15" hidden="false" customHeight="false" outlineLevel="0" collapsed="false">
      <c r="A19" s="54" t="str">
        <f aca="false">IF(B19="","",ROW()-4)</f>
        <v/>
      </c>
      <c r="B19" s="5"/>
      <c r="C19" s="5"/>
      <c r="D19" s="72"/>
      <c r="E19" s="72"/>
      <c r="F19" s="73"/>
      <c r="G19" s="74" t="str">
        <f aca="false">IF(B19="","",IFERROR(INDEX(Dashboard!$G$9:$G$12,MATCH(E19,Dashboard!$F$9:$F$12,0)),1))</f>
        <v/>
      </c>
      <c r="H19" s="36" t="str">
        <f aca="false">IF(B19="","",F19*G19)</f>
        <v/>
      </c>
      <c r="I19" s="72"/>
      <c r="J19" s="5"/>
    </row>
    <row r="20" customFormat="false" ht="15" hidden="false" customHeight="false" outlineLevel="0" collapsed="false">
      <c r="A20" s="58" t="str">
        <f aca="false">IF(B20="","",ROW()-4)</f>
        <v/>
      </c>
      <c r="B20" s="59"/>
      <c r="C20" s="59"/>
      <c r="D20" s="76"/>
      <c r="E20" s="76"/>
      <c r="F20" s="77"/>
      <c r="G20" s="78" t="str">
        <f aca="false">IF(B20="","",IFERROR(INDEX(Dashboard!$G$9:$G$12,MATCH(E20,Dashboard!$F$9:$F$12,0)),1))</f>
        <v/>
      </c>
      <c r="H20" s="63" t="str">
        <f aca="false">IF(B20="","",F20*G20)</f>
        <v/>
      </c>
      <c r="I20" s="76"/>
      <c r="J20" s="59"/>
    </row>
    <row r="21" customFormat="false" ht="15" hidden="false" customHeight="false" outlineLevel="0" collapsed="false">
      <c r="A21" s="54" t="str">
        <f aca="false">IF(B21="","",ROW()-4)</f>
        <v/>
      </c>
      <c r="B21" s="5"/>
      <c r="C21" s="5"/>
      <c r="D21" s="72"/>
      <c r="E21" s="72"/>
      <c r="F21" s="73"/>
      <c r="G21" s="74" t="str">
        <f aca="false">IF(B21="","",IFERROR(INDEX(Dashboard!$G$9:$G$12,MATCH(E21,Dashboard!$F$9:$F$12,0)),1))</f>
        <v/>
      </c>
      <c r="H21" s="36" t="str">
        <f aca="false">IF(B21="","",F21*G21)</f>
        <v/>
      </c>
      <c r="I21" s="72"/>
      <c r="J21" s="5"/>
    </row>
    <row r="22" customFormat="false" ht="15" hidden="false" customHeight="false" outlineLevel="0" collapsed="false">
      <c r="A22" s="58" t="str">
        <f aca="false">IF(B22="","",ROW()-4)</f>
        <v/>
      </c>
      <c r="B22" s="59"/>
      <c r="C22" s="59"/>
      <c r="D22" s="76"/>
      <c r="E22" s="76"/>
      <c r="F22" s="77"/>
      <c r="G22" s="78" t="str">
        <f aca="false">IF(B22="","",IFERROR(INDEX(Dashboard!$G$9:$G$12,MATCH(E22,Dashboard!$F$9:$F$12,0)),1))</f>
        <v/>
      </c>
      <c r="H22" s="63" t="str">
        <f aca="false">IF(B22="","",F22*G22)</f>
        <v/>
      </c>
      <c r="I22" s="76"/>
      <c r="J22" s="59"/>
    </row>
    <row r="23" customFormat="false" ht="15" hidden="false" customHeight="false" outlineLevel="0" collapsed="false">
      <c r="A23" s="54" t="str">
        <f aca="false">IF(B23="","",ROW()-4)</f>
        <v/>
      </c>
      <c r="B23" s="5"/>
      <c r="C23" s="5"/>
      <c r="D23" s="72"/>
      <c r="E23" s="72"/>
      <c r="F23" s="73"/>
      <c r="G23" s="74" t="str">
        <f aca="false">IF(B23="","",IFERROR(INDEX(Dashboard!$G$9:$G$12,MATCH(E23,Dashboard!$F$9:$F$12,0)),1))</f>
        <v/>
      </c>
      <c r="H23" s="36" t="str">
        <f aca="false">IF(B23="","",F23*G23)</f>
        <v/>
      </c>
      <c r="I23" s="72"/>
      <c r="J23" s="5"/>
    </row>
    <row r="24" customFormat="false" ht="15" hidden="false" customHeight="false" outlineLevel="0" collapsed="false">
      <c r="A24" s="58" t="str">
        <f aca="false">IF(B24="","",ROW()-4)</f>
        <v/>
      </c>
      <c r="B24" s="59"/>
      <c r="C24" s="59"/>
      <c r="D24" s="76"/>
      <c r="E24" s="76"/>
      <c r="F24" s="77"/>
      <c r="G24" s="78" t="str">
        <f aca="false">IF(B24="","",IFERROR(INDEX(Dashboard!$G$9:$G$12,MATCH(E24,Dashboard!$F$9:$F$12,0)),1))</f>
        <v/>
      </c>
      <c r="H24" s="63" t="str">
        <f aca="false">IF(B24="","",F24*G24)</f>
        <v/>
      </c>
      <c r="I24" s="76"/>
      <c r="J24" s="59"/>
    </row>
    <row r="25" customFormat="false" ht="15" hidden="false" customHeight="false" outlineLevel="0" collapsed="false">
      <c r="A25" s="66"/>
      <c r="B25" s="67" t="s">
        <v>162</v>
      </c>
      <c r="C25" s="66"/>
      <c r="D25" s="66"/>
      <c r="E25" s="66"/>
      <c r="F25" s="66"/>
      <c r="G25" s="66"/>
      <c r="H25" s="68" t="n">
        <f aca="false">SUM(H5:H24)</f>
        <v>2475500</v>
      </c>
      <c r="I25" s="66"/>
      <c r="J25" s="66"/>
    </row>
    <row r="26" customFormat="false" ht="15" hidden="false" customHeight="false" outlineLevel="0" collapsed="false">
      <c r="B26" s="82" t="s">
        <v>163</v>
      </c>
      <c r="H26" s="36" t="n">
        <f aca="false">SUMIF(I5:I24,"Yes",H5:H24)</f>
        <v>1975500</v>
      </c>
    </row>
    <row r="27" customFormat="false" ht="15" hidden="false" customHeight="false" outlineLevel="0" collapsed="false">
      <c r="B27" s="82" t="s">
        <v>164</v>
      </c>
      <c r="H27" s="36" t="n">
        <f aca="false">H25-H26</f>
        <v>500000</v>
      </c>
    </row>
    <row r="29" customFormat="false" ht="15" hidden="false" customHeight="false" outlineLevel="0" collapsed="false">
      <c r="B29" s="80" t="s">
        <v>165</v>
      </c>
      <c r="C29" s="83" t="s">
        <v>166</v>
      </c>
      <c r="D29" s="83" t="s">
        <v>83</v>
      </c>
    </row>
    <row r="30" customFormat="false" ht="15" hidden="false" customHeight="false" outlineLevel="0" collapsed="false">
      <c r="B30" s="10" t="s">
        <v>30</v>
      </c>
      <c r="C30" s="81" t="n">
        <f aca="false">SUMIF(E5:E24,B30,F5:F24)</f>
        <v>1758500</v>
      </c>
      <c r="D30" s="57" t="n">
        <f aca="false">SUMIF(E5:E24,B30,H5:H24)</f>
        <v>1758500</v>
      </c>
    </row>
    <row r="31" customFormat="false" ht="15" hidden="false" customHeight="false" outlineLevel="0" collapsed="false">
      <c r="B31" s="10" t="s">
        <v>18</v>
      </c>
      <c r="C31" s="81" t="n">
        <f aca="false">SUMIF(E5:E24,B31,F5:F24)</f>
        <v>0</v>
      </c>
      <c r="D31" s="57" t="n">
        <f aca="false">SUMIF(E5:E24,B31,H5:H24)</f>
        <v>0</v>
      </c>
    </row>
    <row r="32" customFormat="false" ht="15" hidden="false" customHeight="false" outlineLevel="0" collapsed="false">
      <c r="B32" s="10" t="s">
        <v>22</v>
      </c>
      <c r="C32" s="81" t="n">
        <f aca="false">SUMIF(E5:E24,B32,F5:F24)</f>
        <v>15000</v>
      </c>
      <c r="D32" s="57" t="n">
        <f aca="false">SUMIF(E5:E24,B32,H5:H24)</f>
        <v>717000</v>
      </c>
    </row>
    <row r="33" customFormat="false" ht="15" hidden="false" customHeight="false" outlineLevel="0" collapsed="false">
      <c r="B33" s="10" t="s">
        <v>26</v>
      </c>
      <c r="C33" s="81" t="n">
        <f aca="false">SUMIF(E5:E24,B33,F5:F24)</f>
        <v>0</v>
      </c>
      <c r="D33" s="57" t="n">
        <f aca="false">SUMIF(E5:E24,B33,H5:H24)</f>
        <v>0</v>
      </c>
    </row>
  </sheetData>
  <mergeCells count="2">
    <mergeCell ref="A1:J1"/>
    <mergeCell ref="A2:J2"/>
  </mergeCells>
  <dataValidations count="3">
    <dataValidation allowBlank="true" errorStyle="stop" operator="between" showDropDown="false" showErrorMessage="false" showInputMessage="false" sqref="D5:D24" type="list">
      <formula1>"Current,Deposit,Credit Line,Cash,Other"</formula1>
      <formula2>0</formula2>
    </dataValidation>
    <dataValidation allowBlank="true" errorStyle="stop" operator="between" showDropDown="false" showErrorMessage="false" showInputMessage="false" sqref="E5:E24" type="list">
      <formula1>"TRY,GBP,EUR,USD"</formula1>
      <formula2>0</formula2>
    </dataValidation>
    <dataValidation allowBlank="true" errorStyle="stop" operator="between" showDropDown="false" showErrorMessage="false" showInputMessage="false" sqref="I5:I2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&amp;RConfidential</oddHeader>
    <oddFooter>&amp;C&amp;A –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2026-09-03T07:11:08Z</dcterms:created>
  <dc:creator>openpyxl</dc:creator>
  <dc:description/>
  <dc:language>en-US</dc:language>
  <cp:lastModifiedBy/>
  <dcterms:modified xsi:type="dcterms:W3CDTF">2026-09-03T07:21:07Z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